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0c172cd8d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1140623461b94a5f"/>
    <x:sheet xmlns:r="http://schemas.openxmlformats.org/officeDocument/2006/relationships" name="Painel" sheetId="2" r:id="R68a58d25f6714324"/>
    <x:sheet xmlns:r="http://schemas.openxmlformats.org/officeDocument/2006/relationships" name="Configurações" sheetId="3" r:id="R491580c48e1c4b02"/>
    <x:sheet xmlns:r="http://schemas.openxmlformats.org/officeDocument/2006/relationships" name="Movimentações" sheetId="4" r:id="Rede6676aa5df4a64"/>
    <x:sheet xmlns:r="http://schemas.openxmlformats.org/officeDocument/2006/relationships" name="Contas recorrentes" sheetId="5" r:id="R81a1f7a5d951442f"/>
    <x:sheet xmlns:r="http://schemas.openxmlformats.org/officeDocument/2006/relationships" name="Orçamento mensal" sheetId="6" r:id="Rdf1b642856f4461d"/>
    <x:sheet xmlns:r="http://schemas.openxmlformats.org/officeDocument/2006/relationships" name="Objetivos" sheetId="7" r:id="R2acb05746853476c"/>
    <x:sheet xmlns:r="http://schemas.openxmlformats.org/officeDocument/2006/relationships" name="Reserva de emergência" sheetId="8" r:id="R8f0f8741f28245f2"/>
    <x:sheet xmlns:r="http://schemas.openxmlformats.org/officeDocument/2006/relationships" name="Resumo mensal" sheetId="9" r:id="R84486da815a9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R$ #,##0.00"/>
    <x:numFmt numFmtId="201" formatCode="0&quot;%&quot;"/>
    <x:numFmt numFmtId="202" formatCode="dd/mm/yyyy"/>
    <x:numFmt numFmtId="203" formatCode="0.0%"/>
    <x:numFmt numFmtId="204" formatCode="0.0"/>
    <x:numFmt numFmtId="205" formatCode="mmmm yyyy"/>
    <x:numFmt numFmtId="206" formatCode="mmm yyyy"/>
  </x:numFmts>
  <x:fonts count="13">
    <x:font>
      <x:sz val="11"/>
      <x:name val="Carlito"/>
    </x:font>
    <x:font>
      <x:b/>
      <x:sz val="17"/>
      <x:color rgb="FFFFFFFF"/>
      <x:name val="Carlito"/>
    </x:font>
    <x:font>
      <x:i/>
      <x:sz val="11"/>
      <x:color rgb="FF20352C"/>
      <x:name val="Carlito"/>
    </x:font>
    <x:font>
      <x:b/>
      <x:sz val="11"/>
      <x:color rgb="FFFFFFFF"/>
      <x:name val="Carlito"/>
    </x:font>
    <x:font>
      <x:b/>
      <x:sz val="11"/>
      <x:color rgb="FF20352C"/>
      <x:name val="Carlito"/>
    </x:font>
    <x:font>
      <x:sz val="10"/>
      <x:color rgb="FF20352C"/>
      <x:name val="Carlito"/>
    </x:font>
    <x:font>
      <x:b/>
      <x:sz val="16"/>
      <x:color rgb="FFFFFFFF"/>
      <x:name val="Carlito"/>
    </x:font>
    <x:font>
      <x:sz val="11"/>
      <x:color rgb="FF2F7D60"/>
      <x:name val="Carlito"/>
    </x:font>
    <x:font>
      <x:b/>
      <x:sz val="11"/>
      <x:color rgb="FF785B16"/>
      <x:name val="Carlito"/>
    </x:font>
    <x:font>
      <x:sz val="11"/>
      <x:color rgb="FF785B16"/>
      <x:name val="Carlito"/>
    </x:font>
    <x:font>
      <x:b/>
      <x:sz val="15"/>
      <x:color rgb="FFFFFFFF"/>
      <x:name val="Carlito"/>
    </x:font>
    <x:font>
      <x:b/>
      <x:sz val="14"/>
      <x:color rgb="FF2F7D60"/>
      <x:name val="Carlito"/>
    </x:font>
    <x:font>
      <x:sz val="11"/>
      <x:color rgb="FF20352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31"/>
      </x:patternFill>
    </x:fill>
    <x:fill>
      <x:patternFill patternType="solid">
        <x:fgColor rgb="FFE4F3EB"/>
      </x:patternFill>
    </x:fill>
    <x:fill>
      <x:patternFill patternType="solid">
        <x:fgColor rgb="FF2F7D60"/>
      </x:patternFill>
    </x:fill>
    <x:fill>
      <x:patternFill patternType="solid">
        <x:fgColor rgb="FFF3F7F4"/>
      </x:patternFill>
    </x:fill>
    <x:fill>
      <x:patternFill patternType="solid">
        <x:fgColor rgb="FFFFF3CD"/>
      </x:patternFill>
    </x:fill>
    <x:fill>
      <x:patternFill patternType="solid">
        <x:fgColor rgb="FFF0F8F3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0" fontId="7" fillId="7" borderId="0" xfId="0" applyNumberFormat="1" applyFont="1" applyFill="1" applyBorder="1"/>
    <x:xf numFmtId="200" fontId="7" fillId="7" borderId="1" xfId="0" applyNumberFormat="1" applyFont="1" applyFill="1" applyBorder="1"/>
    <x:xf numFmtId="201" fontId="7" fillId="7" borderId="0" xfId="0" applyNumberFormat="1" applyFont="1" applyFill="1" applyBorder="1"/>
    <x:xf numFmtId="201" fontId="7" fillId="7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200" fontId="9" fillId="6" borderId="0" xfId="0" applyNumberFormat="1" applyFont="1" applyFill="1" applyBorder="1" applyAlignment="1">
      <x:alignment wrapText="1"/>
    </x:xf>
    <x:xf numFmtId="202" fontId="9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200" fontId="9" fillId="6" borderId="1" xfId="0" applyNumberFormat="1" applyFont="1" applyFill="1" applyBorder="1" applyAlignment="1">
      <x:alignment wrapText="1"/>
    </x:xf>
    <x:xf numFmtId="202" fontId="9" fillId="6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200" fontId="9" fillId="6" borderId="0" xfId="0" applyNumberFormat="1" applyFont="1" applyFill="1" applyBorder="1"/>
    <x:xf numFmtId="200" fontId="9" fillId="6" borderId="1" xfId="0" applyNumberFormat="1" applyFont="1" applyFill="1" applyBorder="1"/>
    <x:xf numFmtId="203" fontId="7" fillId="7" borderId="0" xfId="0" applyNumberFormat="1" applyFont="1" applyFill="1" applyBorder="1"/>
    <x:xf numFmtId="203" fontId="7" fillId="7" borderId="1" xfId="0" applyNumberFormat="1" applyFont="1" applyFill="1" applyBorder="1"/>
    <x:xf numFmtId="204" fontId="7" fillId="7" borderId="0" xfId="0" applyNumberFormat="1" applyFont="1" applyFill="1" applyBorder="1"/>
    <x:xf numFmtId="204" fontId="7" fillId="7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4" fillId="3" borderId="1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E3029"/>
      </x:font>
      <x:fill>
        <x:patternFill patternType="solid">
          <x:bgColor rgb="FFFCE8E6"/>
        </x:patternFill>
      </x:fill>
    </x:dxf>
    <x:dxf>
      <x:font>
        <x:color rgb="FF2F7D60"/>
      </x:font>
      <x:fill>
        <x:patternFill patternType="solid">
          <x:bgColor rgb="FFE4F3EB"/>
        </x:patternFill>
      </x:fill>
    </x:dxf>
    <x:dxf>
      <x:font>
        <x:b/>
        <x:color rgb="FF2F7D60"/>
      </x:font>
      <x:fill>
        <x:patternFill patternType="solid">
          <x:bgColor rgb="FFE4F3EB"/>
        </x:patternFill>
      </x:fill>
    </x:dxf>
    <x:dxf>
      <x:font>
        <x:b/>
        <x:color rgb="FF785B16"/>
      </x:font>
      <x:fill>
        <x:patternFill patternType="solid">
          <x:bgColor rgb="FFFFF3CD"/>
        </x:patternFill>
      </x:fill>
    </x:dxf>
    <x:dxf>
      <x:font>
        <x:b/>
        <x:color rgb="FF9E3029"/>
      </x:font>
      <x:fill>
        <x:patternFill patternType="solid">
          <x:bgColor rgb="FFFCE8E6"/>
        </x:patternFill>
      </x:fill>
    </x:dxf>
    <x:dxf>
      <x:font>
        <x:b/>
        <x:color rgb="FF9E3029"/>
      </x:font>
      <x:fill>
        <x:patternFill patternType="solid">
          <x:bgColor rgb="FFFCE8E6"/>
        </x:patternFill>
      </x:fill>
    </x:dxf>
    <x:dxf>
      <x:font>
        <x:b/>
        <x:color rgb="FF785B16"/>
      </x:font>
      <x:fill>
        <x:patternFill patternType="solid">
          <x:bgColor rgb="FFFFF3CD"/>
        </x:patternFill>
      </x:fill>
    </x:dxf>
    <x:dxf>
      <x:font>
        <x:b/>
        <x:color rgb="FF9E3029"/>
      </x:font>
      <x:fill>
        <x:patternFill patternType="solid">
          <x:bgColor rgb="FFFCE8E6"/>
        </x:patternFill>
      </x:fill>
    </x:dxf>
    <x:dxf>
      <x:font>
        <x:b/>
        <x:color rgb="FF9E3029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f8e341f184c8e" /><Relationship Type="http://schemas.openxmlformats.org/officeDocument/2006/relationships/theme" Target="/xl/theme/theme1.xml" Id="R6836c111b9034b9e" /><Relationship Type="http://schemas.openxmlformats.org/officeDocument/2006/relationships/sharedStrings" Target="/xl/sharedStrings.xml" Id="R45969c353ccd4dec" /><Relationship Type="http://schemas.openxmlformats.org/officeDocument/2006/relationships/worksheet" Target="/xl/worksheets/sheet1.xml" Id="R1140623461b94a5f" /><Relationship Type="http://schemas.openxmlformats.org/officeDocument/2006/relationships/worksheet" Target="/xl/worksheets/sheet2.xml" Id="R68a58d25f6714324" /><Relationship Type="http://schemas.openxmlformats.org/officeDocument/2006/relationships/worksheet" Target="/xl/worksheets/sheet3.xml" Id="R491580c48e1c4b02" /><Relationship Type="http://schemas.openxmlformats.org/officeDocument/2006/relationships/worksheet" Target="/xl/worksheets/sheet4.xml" Id="Rede6676aa5df4a64" /><Relationship Type="http://schemas.openxmlformats.org/officeDocument/2006/relationships/worksheet" Target="/xl/worksheets/sheet5.xml" Id="R81a1f7a5d951442f" /><Relationship Type="http://schemas.openxmlformats.org/officeDocument/2006/relationships/worksheet" Target="/xl/worksheets/sheet6.xml" Id="Rdf1b642856f4461d" /><Relationship Type="http://schemas.openxmlformats.org/officeDocument/2006/relationships/worksheet" Target="/xl/worksheets/sheet7.xml" Id="R2acb05746853476c" /><Relationship Type="http://schemas.openxmlformats.org/officeDocument/2006/relationships/worksheet" Target="/xl/worksheets/sheet8.xml" Id="R8f0f8741f28245f2" /><Relationship Type="http://schemas.openxmlformats.org/officeDocument/2006/relationships/worksheet" Target="/xl/worksheets/sheet9.xml" Id="R84486da815a947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cafe57ade44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9c16696c36b40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Limite x gasto por categoria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Limite mensal (R$)</c:v>
          </c:tx>
          <c:cat>
            <c:strRef>
              <c:f>'Orçamento mensal'!$A$4:$A$15</c:f>
              <c:strCache>
                <c:ptCount val="0"/>
              </c:strCache>
            </c:strRef>
          </c:cat>
          <c:val>
            <c:numRef>
              <c:f>'Orçamento mensal'!$B$4:$B$15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Gasto pago (R$)</c:v>
          </c:tx>
          <c:cat>
            <c:strRef>
              <c:f>'Orçamento mensal'!$A$4:$A$15</c:f>
              <c:strCache>
                <c:ptCount val="0"/>
              </c:strCache>
            </c:strRef>
          </c:cat>
          <c:val>
            <c:numRef>
              <c:f>'Orçamento mensal'!$C$4:$C$15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Renda e despesas — 12 meses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Renda projetada (R$)</c:v>
          </c:tx>
          <c:marker>
            <c:symbol val="none"/>
          </c:marker>
          <c:cat>
            <c:strRef>
              <c:f>'Resumo mensal'!$A$4:$A$15</c:f>
              <c:strCache>
                <c:ptCount val="0"/>
              </c:strCache>
            </c:strRef>
          </c:cat>
          <c:val>
            <c:numRef>
              <c:f>'Resumo mensal'!$B$4:$B$15</c:f>
              <c:numCache>
                <c:formatCode>R$ 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Renda recebida (R$)</c:v>
          </c:tx>
          <c:marker>
            <c:symbol val="none"/>
          </c:marker>
          <c:cat>
            <c:strRef>
              <c:f>'Resumo mensal'!$A$4:$A$15</c:f>
              <c:strCache>
                <c:ptCount val="0"/>
              </c:strCache>
            </c:strRef>
          </c:cat>
          <c:val>
            <c:numRef>
              <c:f>'Resumo mensal'!$C$4:$C$15</c:f>
              <c:numCache>
                <c:formatCode>R$ 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Despesas pagas (R$)</c:v>
          </c:tx>
          <c:marker>
            <c:symbol val="none"/>
          </c:marker>
          <c:cat>
            <c:strRef>
              <c:f>'Resumo mensal'!$A$4:$A$15</c:f>
              <c:strCache>
                <c:ptCount val="0"/>
              </c:strCache>
            </c:strRef>
          </c:cat>
          <c:val>
            <c:numRef>
              <c:f>'Resumo mensal'!$D$4:$D$15</c:f>
              <c:numCache>
                <c:formatCode>R$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cafe57ade44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c16696c36b40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vimentacoesTable" displayName="MovimentacoesTable" ref="A1:J501" headerRowCount="1" totalsRowCount="0" totalsRowShown="0">
  <x:tableColumns count="10">
    <x:tableColumn id="1" name="Data"/>
    <x:tableColumn id="2" name="Tipo"/>
    <x:tableColumn id="3" name="Categoria"/>
    <x:tableColumn id="4" name="Descrição"/>
    <x:tableColumn id="5" name="Valor (R$)"/>
    <x:tableColumn id="6" name="Situação"/>
    <x:tableColumn id="7" name="Objetivo (nome exato)"/>
    <x:tableColumn id="8" name="Conta/meio"/>
    <x:tableColumn id="9" name="Essencial?"/>
    <x:tableColumn id="10" name="Mar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sRecorrentesTable" displayName="ContasRecorrentesTable" ref="A1:L301" headerRowCount="1" totalsRowCount="0" totalsRowShown="0">
  <x:tableColumns count="12">
    <x:tableColumn id="1" name="Vencimento"/>
    <x:tableColumn id="2" name="Conta"/>
    <x:tableColumn id="3" name="Categoria"/>
    <x:tableColumn id="4" name="Valor previsto (R$)"/>
    <x:tableColumn id="5" name="Valor pago (R$)"/>
    <x:tableColumn id="6" name="Situação"/>
    <x:tableColumn id="7" name="Recorrência"/>
    <x:tableColumn id="8" name="Dia fixo"/>
    <x:tableColumn id="9" name="Essencial?"/>
    <x:tableColumn id="10" name="Chave da ocorrência"/>
    <x:tableColumn id="11" name="Observações"/>
    <x:tableColumn id="12" name="Mar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OrcamentoTable" displayName="OrcamentoTable" ref="A3:G33" headerRowCount="1" totalsRowCount="0" totalsRowShown="0">
  <x:tableColumns count="7">
    <x:tableColumn id="1" name="Categoria"/>
    <x:tableColumn id="2" name="Limite mensal (R$)"/>
    <x:tableColumn id="3" name="Gasto pago (R$)"/>
    <x:tableColumn id="4" name="Despesa planejada (R$)"/>
    <x:tableColumn id="5" name="Restante (R$)"/>
    <x:tableColumn id="6" name="Uso do limite"/>
    <x:tableColumn id="7" name="Situ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ObjetivosTable" displayName="ObjetivosTable" ref="A1:O101" headerRowCount="1" totalsRowCount="0" totalsRowShown="0">
  <x:tableColumns count="15">
    <x:tableColumn id="1" name="Objetivo"/>
    <x:tableColumn id="2" name="Meta (R$)"/>
    <x:tableColumn id="3" name="Saldo inicial (R$)"/>
    <x:tableColumn id="4" name="Data-alvo"/>
    <x:tableColumn id="5" name="Aporte mensal (R$)"/>
    <x:tableColumn id="6" name="Prioridade"/>
    <x:tableColumn id="7" name="Situação"/>
    <x:tableColumn id="8" name="Aportes (R$)"/>
    <x:tableColumn id="9" name="Retiradas (R$)"/>
    <x:tableColumn id="10" name="Saldo atual (R$)"/>
    <x:tableColumn id="11" name="Falta (R$)"/>
    <x:tableColumn id="12" name="Progresso"/>
    <x:tableColumn id="13" name="Meses estimados"/>
    <x:tableColumn id="14" name="Aporte necessário (R$)"/>
    <x:tableColumn id="15" name="Praz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b803260e42448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efeb4c10d08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97cee9414d6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b8bd04cd85d4a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99867e903f14e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028e1d7061c0432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4" t="str">
        <x:v>MEU FINANCEIRO • GUIA DE USO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0" t="str">
        <x:v>Planilha pessoal de controle financeiro | valores de demonstração identificados como EXEMPLO</x:v>
      </x:c>
      <x:c r="B2" s="10"/>
      <x:c r="C2" s="10"/>
      <x:c r="D2" s="10"/>
      <x:c r="E2" s="10"/>
      <x:c r="F2" s="10"/>
      <x:c r="G2" s="10"/>
      <x:c r="H2" s="10"/>
    </x:row>
    <x:row r="4" ht="23" customHeight="1">
      <x:c r="A4" s="15" t="str">
        <x:v>PASSO</x:v>
      </x:c>
      <x:c r="B4" s="15" t="str">
        <x:v>O QUE FAZER</x:v>
      </x:c>
    </x:row>
    <x:row r="5">
      <x:c r="A5" s="25" t="str">
        <x:v>1. Antes de começar</x:v>
      </x:c>
      <x:c r="B5" s="20" t="str">
        <x:v>Substitua os valores EXEMPLO nas abas Configurações, Movimentações, Contas recorrentes, Objetivos e Reserva de emergência.</x:v>
      </x:c>
    </x:row>
    <x:row r="6">
      <x:c r="A6" s="25" t="str">
        <x:v>2. Renda</x:v>
      </x:c>
      <x:c r="B6" s="20" t="str">
        <x:v>Na aba Configurações, informe sua renda líquida prevista. Registre o salário recebido em Movimentações quando ele cair.</x:v>
      </x:c>
    </x:row>
    <x:row r="7">
      <x:c r="A7" s="25" t="str">
        <x:v>3. Movimentações</x:v>
      </x:c>
      <x:c r="B7" s="20" t="str">
        <x:v>Registre receitas, gastos, aportes e retiradas. Preencha a data, tipo, categoria, valor e situação. Valor é sempre positivo; o tipo define o efeito.</x:v>
      </x:c>
    </x:row>
    <x:row r="8">
      <x:c r="A8" s="25" t="str">
        <x:v>4. Contas</x:v>
      </x:c>
      <x:c r="B8" s="20" t="str">
        <x:v>Cada linha de Contas recorrentes representa uma ocorrência com data de vencimento própria. Ao abrir um novo mês, copie/adapte a linha para o novo vencimento e mude a Chave da ocorrência. Não duplique uma ocorrência já criada.</x:v>
      </x:c>
    </x:row>
    <x:row r="9">
      <x:c r="A9" s="25" t="str">
        <x:v>5. Não duplicar contas</x:v>
      </x:c>
      <x:c r="B9" s="20" t="str">
        <x:v>Se uma conta já estiver na aba Contas recorrentes, atualize a situação para Paga e informe o valor efetivo se diferente. Não registre esse mesmo pagamento novamente como Despesa em Movimentações.</x:v>
      </x:c>
    </x:row>
    <x:row r="10">
      <x:c r="A10" s="25" t="str">
        <x:v>6. Orçamento</x:v>
      </x:c>
      <x:c r="B10" s="20" t="str">
        <x:v>Na aba Orçamento mensal, preencha as categorias e seus limites. Gastos pagos são calculados por fórmulas; não sobrescreva células calculadas.</x:v>
      </x:c>
    </x:row>
    <x:row r="11">
      <x:c r="A11" s="25" t="str">
        <x:v>7. Objetivos</x:v>
      </x:c>
      <x:c r="B11" s="20" t="str">
        <x:v>Cadastre a meta, saldo anterior ao uso desta planilha, data-alvo opcional e aporte mensal. Registre aportes/retiradas em Movimentações usando o mesmo nome do objetivo na coluna Objetivo.</x:v>
      </x:c>
    </x:row>
    <x:row r="12">
      <x:c r="A12" s="25" t="str">
        <x:v>8. Reserva</x:v>
      </x:c>
      <x:c r="B12" s="20" t="str">
        <x:v>O saldo é o saldo inicial + aportes - retiradas. A meta pode ser manual ou estimada pelo gasto essencial registrado no mês selecionado vezes a quantidade de meses.</x:v>
      </x:c>
    </x:row>
    <x:row r="13">
      <x:c r="A13" s="25" t="str">
        <x:v>9. Painel</x:v>
      </x:c>
      <x:c r="B13" s="20" t="str">
        <x:v>Escolha o primeiro dia do mês em Painel!B3. Os indicadores e o resumo mensal usam esse mês para filtrar as datas.</x:v>
      </x:c>
    </x:row>
    <x:row r="14">
      <x:c r="A14" s="25" t="str">
        <x:v>10. Células calculadas</x:v>
      </x:c>
      <x:c r="B14" s="20" t="str">
        <x:v>Não digite por cima de células com fórmulas. Preencha as células de entrada; as células verdes-claro/cinzas são resultados.</x:v>
      </x:c>
    </x:row>
    <x:row r="15">
      <x:c r="A15" s="25" t="str">
        <x:v>11. Dados de exemplo</x:v>
      </x:c>
      <x:c r="B15" s="20" t="str">
        <x:v>Linhas de exemplo têm EXEMPLO na última coluna ou no texto. Exclua-as antes de usar os relatórios para decisões pessoais.</x:v>
      </x:c>
    </x:row>
    <x:row r="16">
      <x:c r="A16" s="25" t="str">
        <x:v>12. Privacidade e backup</x:v>
      </x:c>
      <x:c r="B16" s="20" t="str">
        <x:v>O arquivo é local. Guarde cópias em lugar privado. Não coloque informações bancárias sensíveis. A planilha não sincroniza os dados com o site automaticamente.</x:v>
      </x:c>
    </x:row>
    <x:row r="17">
      <x:c r="A17" s="20"/>
      <x:c r="B17" s="20"/>
    </x:row>
    <x:row r="18">
      <x:c r="A18" s="20"/>
      <x:c r="B18" s="20"/>
    </x:row>
    <x:row r="19" ht="24" customHeight="1">
      <x:c r="A19" s="21" t="str">
        <x:v>MODELO CONTÁBIL E REGRAS</x:v>
      </x:c>
      <x:c r="B19" s="21"/>
    </x:row>
    <x:row r="20">
      <x:c r="A20" s="25" t="str">
        <x:v>Renda projetada</x:v>
      </x:c>
      <x:c r="B20" s="20" t="str">
        <x:v>Salário previsto das Configurações, salvo quando há registro de Receita com categoria Salário no mês; outras receitas previstas/recebidas são somadas.</x:v>
      </x:c>
    </x:row>
    <x:row r="21">
      <x:c r="A21" s="25" t="str">
        <x:v>Renda recebida</x:v>
      </x:c>
      <x:c r="B21" s="20" t="str">
        <x:v>Soma somente receitas marcadas Recebido.</x:v>
      </x:c>
    </x:row>
    <x:row r="22">
      <x:c r="A22" s="25" t="str">
        <x:v>Despesas pagas</x:v>
      </x:c>
      <x:c r="B22" s="20" t="str">
        <x:v>Soma despesas de consumo marcadas Pago + contas com status Paga. A mesma conta não deve ser lançada nos dois lugares.</x:v>
      </x:c>
    </x:row>
    <x:row r="23">
      <x:c r="A23" s="25" t="str">
        <x:v>Dinheiro comprometido</x:v>
      </x:c>
      <x:c r="B23" s="20" t="str">
        <x:v>Despesas pagas + despesas planejadas + contas pendentes.</x:v>
      </x:c>
    </x:row>
    <x:row r="24">
      <x:c r="A24" s="25" t="str">
        <x:v>Aportes</x:v>
      </x:c>
      <x:c r="B24" s="20" t="str">
        <x:v>Aporte objetivo/reserva reduz o dinheiro livre e aumenta a reserva correspondente. Não é despesa de consumo.</x:v>
      </x:c>
    </x:row>
    <x:row r="25">
      <x:c r="A25" s="25" t="str">
        <x:v>Dinheiro livre projetado</x:v>
      </x:c>
      <x:c r="B25" s="20" t="str">
        <x:v>Renda projetada − dinheiro comprometido − aportes líquidos (aportes menos retiradas). Pode ficar negativo.</x:v>
      </x:c>
    </x:row>
    <x:row r="26">
      <x:c r="A26" s="25" t="str">
        <x:v>Saldo bancário real</x:v>
      </x:c>
      <x:c r="B26" s="20" t="str">
        <x:v>Campo de entrada manual; não é calculado a partir dos lançamentos.</x:v>
      </x:c>
    </x:row>
    <x:row r="27">
      <x:c r="A27" s="25" t="str">
        <x:v>Limitações</x:v>
      </x:c>
      <x:c r="B27" s="20" t="str">
        <x:v>Fórmulas são padrão Excel/Google Sheets e não usam macros. A criação de contas recorrentes em novos meses é manual na planilha; o site faz isso ao navegar pelos meses.</x:v>
      </x:c>
    </x:row>
    <x:row r="29" ht="40" customHeight="1">
      <x:c r="A29" s="30" t="str">
        <x:v>Compatibilidade: a planilha usa fórmulas comuns (SUMIFS, COUNTIFS, IF, DATE, YEAR, MONTH, ROUND). Ao importar no Google Sheets, confira datas/formatos e a localização de fórmulas se a aplicação solicitar conversão.</x:v>
      </x:c>
      <x:c r="B29" s="30"/>
      <x:c r="C29" s="30"/>
      <x:c r="D29" s="30"/>
      <x:c r="E29" s="30"/>
      <x:c r="F29" s="30"/>
      <x:c r="G29" s="30"/>
      <x:c r="H29" s="30"/>
    </x:row>
  </x:sheetData>
  <x:mergeCells>
    <x:mergeCell ref="A1:H1"/>
    <x:mergeCell ref="A2:H2"/>
    <x:mergeCell ref="A19:B19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2" hidden="0" customWidth="1"/>
    <x:col min="5" max="5" width="31" hidden="0" customWidth="1"/>
    <x:col min="6" max="6" width="20" hidden="0" customWidth="1"/>
    <x:col min="7" max="7" width="31" hidden="0" customWidth="1"/>
    <x:col min="8" max="8" width="20" hidden="0" customWidth="1"/>
  </x:cols>
  <x:sheetData>
    <x:row r="1" ht="33" customHeight="1">
      <x:c r="A1" s="3" t="str">
        <x:v>MEU FINANCEIRO • PAINEL MENSAL</x:v>
      </x:c>
      <x:c r="B1" s="3"/>
      <x:c r="C1" s="3"/>
      <x:c r="D1" s="3"/>
      <x:c r="E1" s="3"/>
      <x:c r="F1" s="3"/>
      <x:c r="G1" s="3"/>
      <x:c r="H1" s="3"/>
    </x:row>
    <x:row r="3" ht="25" customHeight="1">
      <x:c r="A3" s="37" t="str">
        <x:v>Mês selecionado (use o dia 01)</x:v>
      </x:c>
      <x:c r="B3" s="90" t="n">
        <x:v>46296</x:v>
      </x:c>
    </x:row>
    <x:row r="5" ht="38" customHeight="1">
      <x:c r="A5" s="93" t="str">
        <x:v>Renda projetada (R$)</x:v>
      </x:c>
      <x:c r="B5" s="98" t="n">
        <x:f>ROUND(SUMIFS('Movimentações'!$E$2:$E$501,'Movimentações'!$B$2:$B$501,"Receita",'Movimentações'!$A$2:$A$501,"&gt;="&amp;$B$3,'Movimentações'!$A$2:$A$501,"&lt;"&amp;DATE(YEAR($B$3),MONTH($B$3)+1,1))-SUMIFS('Movimentações'!$E$2:$E$501,'Movimentações'!$B$2:$B$501,"Receita",'Movimentações'!$C$2:$C$501,"Salário",'Movimentações'!$A$2:$A$501,"&gt;="&amp;$B$3,'Movimentações'!$A$2:$A$501,"&lt;"&amp;DATE(YEAR($B$3),MONTH($B$3)+1,1))+IF(COUNTIFS('Movimentações'!$B$2:$B$501,"Receita",'Movimentações'!$C$2:$C$501,"Salário",'Movimentações'!$A$2:$A$501,"&gt;="&amp;$B$3,'Movimentações'!$A$2:$A$501,"&lt;"&amp;DATE(YEAR($B$3),MONTH($B$3)+1,1))&gt;0,SUMIFS('Movimentações'!$E$2:$E$501,'Movimentações'!$B$2:$B$501,"Receita",'Movimentações'!$C$2:$C$501,"Salário",'Movimentações'!$A$2:$A$501,"&gt;="&amp;$B$3,'Movimentações'!$A$2:$A$501,"&lt;"&amp;DATE(YEAR($B$3),MONTH($B$3)+1,1)),'Configurações'!$B$2),2)</x:f>
        <x:v>3200</x:v>
      </x:c>
      <x:c r="C5" s="93" t="str">
        <x:v>Renda recebida (R$)</x:v>
      </x:c>
      <x:c r="D5" s="98" t="n">
        <x:f>ROUND(SUMIFS('Movimentações'!$E$2:$E$501,'Movimentações'!$B$2:$B$501,"Receita",'Movimentações'!$F$2:$F$501,"Recebido",'Movimentações'!$A$2:$A$501,"&gt;="&amp;$B$3,'Movimentações'!$A$2:$A$501,"&lt;"&amp;DATE(YEAR($B$3),MONTH($B$3)+1,1)),2)</x:f>
        <x:v>3200</x:v>
      </x:c>
      <x:c r="E5" s="93" t="str">
        <x:v>Despesas pagas (R$)</x:v>
      </x:c>
      <x:c r="F5" s="98" t="n">
        <x:f>ROUND(SUMIFS('Movimentações'!$E$2:$E$501,'Movimentações'!$B$2:$B$501,"Despesa",'Movimentações'!$F$2:$F$501,"Pago",'Movimentações'!$A$2:$A$501,"&gt;="&amp;$B$3,'Movimentações'!$A$2:$A$501,"&lt;"&amp;DATE(YEAR($B$3),MONTH($B$3)+1,1))+SUMIFS('Contas recorrentes'!$M$2:$M$301,'Contas recorrentes'!$F$2:$F$301,"Paga",'Contas recorrentes'!$A$2:$A$301,"&gt;="&amp;$B$3,'Contas recorrentes'!$A$2:$A$301,"&lt;"&amp;DATE(YEAR($B$3),MONTH($B$3)+1,1)),2)</x:f>
        <x:v>1205</x:v>
      </x:c>
      <x:c r="G5" s="93" t="str">
        <x:v>Contas pendentes (R$)</x:v>
      </x:c>
      <x:c r="H5" s="98" t="n">
        <x:f>ROUND(SUMIFS('Contas recorrentes'!$D$2:$D$301,'Contas recorrentes'!$F$2:$F$301,"Pendente",'Contas recorrentes'!$A$2:$A$301,"&gt;="&amp;$B$3,'Contas recorrentes'!$A$2:$A$301,"&lt;"&amp;DATE(YEAR($B$3),MONTH($B$3)+1,1)),2)</x:f>
        <x:v>210</x:v>
      </x:c>
    </x:row>
    <x:row r="7" ht="38" customHeight="1">
      <x:c r="A7" s="93" t="str">
        <x:v>Dinheiro comprometido (R$)</x:v>
      </x:c>
      <x:c r="B7" s="98" t="n">
        <x:f>ROUND(F5+H5+ROUND(SUMIFS('Movimentações'!$E$2:$E$501,'Movimentações'!$B$2:$B$501,"Despesa",'Movimentações'!$F$2:$F$501,"Planejado",'Movimentações'!$A$2:$A$501,"&gt;="&amp;$B$3,'Movimentações'!$A$2:$A$501,"&lt;"&amp;DATE(YEAR($B$3),MONTH($B$3)+1,1)),2),2)</x:f>
        <x:v>1415</x:v>
      </x:c>
      <x:c r="C7" s="93" t="str">
        <x:v>Aportes líquidos (R$)</x:v>
      </x:c>
      <x:c r="D7" s="98" t="n">
        <x:f>ROUND(SUMIFS('Movimentações'!$E$2:$E$501,'Movimentações'!$B$2:$B$501,"Aporte objetivo",'Movimentações'!$A$2:$A$501,"&gt;="&amp;$B$3,'Movimentações'!$A$2:$A$501,"&lt;"&amp;DATE(YEAR($B$3),MONTH($B$3)+1,1))+SUMIFS('Movimentações'!$E$2:$E$501,'Movimentações'!$B$2:$B$501,"Aporte reserva",'Movimentações'!$A$2:$A$501,"&gt;="&amp;$B$3,'Movimentações'!$A$2:$A$501,"&lt;"&amp;DATE(YEAR($B$3),MONTH($B$3)+1,1))-SUMIFS('Movimentações'!$E$2:$E$501,'Movimentações'!$B$2:$B$501,"Retirada objetivo",'Movimentações'!$A$2:$A$501,"&gt;="&amp;$B$3,'Movimentações'!$A$2:$A$501,"&lt;"&amp;DATE(YEAR($B$3),MONTH($B$3)+1,1))-SUMIFS('Movimentações'!$E$2:$E$501,'Movimentações'!$B$2:$B$501,"Retirada reserva",'Movimentações'!$A$2:$A$501,"&gt;="&amp;$B$3,'Movimentações'!$A$2:$A$501,"&lt;"&amp;DATE(YEAR($B$3),MONTH($B$3)+1,1)),2)</x:f>
        <x:v>350</x:v>
      </x:c>
      <x:c r="E7" s="93" t="str">
        <x:v>Dinheiro livre projetado (R$)</x:v>
      </x:c>
      <x:c r="F7" s="98" t="n">
        <x:f>ROUND(B5-B7-D7,2)</x:f>
        <x:v>1435</x:v>
      </x:c>
      <x:c r="G7" s="93" t="str">
        <x:v>Saldo bancário real manual (R$)</x:v>
      </x:c>
      <x:c r="H7" s="98" t="n">
        <x:f>'Configurações'!$B$4</x:f>
        <x:v>2825</x:v>
      </x:c>
    </x:row>
    <x:row r="9" ht="35" customHeight="1">
      <x:c r="A9" s="93" t="str">
        <x:v>Objetivos acumulados (R$)</x:v>
      </x:c>
      <x:c r="B9" s="98" t="n">
        <x:f>ROUND(SUM('Objetivos'!$J$2:$J$101),2)</x:f>
        <x:v>800</x:v>
      </x:c>
      <x:c r="C9" s="93" t="str">
        <x:v>Saldo da reserva (R$)</x:v>
      </x:c>
      <x:c r="D9" s="98" t="n">
        <x:f>'Reserva de emergência'!$B$10</x:f>
        <x:v>1150</x:v>
      </x:c>
    </x:row>
    <x:row r="10">
      <x:c r="A10" s="18" t="str">
        <x:v>ORÇAMENTO DE CONSUMO</x:v>
      </x:c>
      <x:c r="B10" s="18"/>
      <x:c r="C10" s="18"/>
    </x:row>
    <x:row r="11">
      <x:c r="A11" s="15" t="str">
        <x:v>Categoria</x:v>
      </x:c>
      <x:c r="B11" s="15" t="str">
        <x:v>Limite (R$)</x:v>
      </x:c>
      <x:c r="C11" s="15" t="str">
        <x:v>Gasto pago (R$)</x:v>
      </x:c>
    </x:row>
    <x:row r="12">
      <x:c r="A12" s="102" t="str">
        <x:f>'Orçamento mensal'!A4</x:f>
        <x:v>Alimentação</x:v>
      </x:c>
      <x:c r="B12" s="52" t="n">
        <x:f>'Orçamento mensal'!B4</x:f>
        <x:v>450</x:v>
      </x:c>
      <x:c r="C12" s="52" t="n">
        <x:f>'Orçamento mensal'!C4</x:f>
        <x:v>245</x:v>
      </x:c>
    </x:row>
    <x:row r="13">
      <x:c r="A13" s="102" t="str">
        <x:f>'Orçamento mensal'!A5</x:f>
        <x:v>Transporte</x:v>
      </x:c>
      <x:c r="B13" s="52" t="n">
        <x:f>'Orçamento mensal'!B5</x:f>
        <x:v>200</x:v>
      </x:c>
      <x:c r="C13" s="52" t="n">
        <x:f>'Orçamento mensal'!C5</x:f>
        <x:v>65</x:v>
      </x:c>
    </x:row>
    <x:row r="14">
      <x:c r="A14" s="102" t="str">
        <x:f>'Orçamento mensal'!A6</x:f>
        <x:v>Lazer</x:v>
      </x:c>
      <x:c r="B14" s="52" t="n">
        <x:f>'Orçamento mensal'!B6</x:f>
        <x:v>150</x:v>
      </x:c>
      <x:c r="C14" s="52" t="n">
        <x:f>'Orçamento mensal'!C6</x:f>
        <x:v>45</x:v>
      </x:c>
    </x:row>
    <x:row r="15">
      <x:c r="A15" s="102" t="str">
        <x:f>'Orçamento mensal'!A7</x:f>
        <x:v>Compras</x:v>
      </x:c>
      <x:c r="B15" s="52" t="n">
        <x:f>'Orçamento mensal'!B7</x:f>
        <x:v>250</x:v>
      </x:c>
      <x:c r="C15" s="52" t="n">
        <x:f>'Orçamento mensal'!C7</x:f>
        <x:v>0</x:v>
      </x:c>
    </x:row>
    <x:row r="16">
      <x:c r="A16" s="102" t="str">
        <x:f>'Orçamento mensal'!A8</x:f>
        <x:v>Moradia</x:v>
      </x:c>
      <x:c r="B16" s="52" t="n">
        <x:f>'Orçamento mensal'!B8</x:f>
        <x:v>0</x:v>
      </x:c>
      <x:c r="C16" s="52" t="n">
        <x:f>'Orçamento mensal'!C8</x:f>
        <x:v>850</x:v>
      </x:c>
    </x:row>
    <x:row r="17">
      <x:c r="A17" s="102" t="str">
        <x:f>'Orçamento mensal'!A9</x:f>
        <x:v>Saúde</x:v>
      </x:c>
      <x:c r="B17" s="52" t="n">
        <x:f>'Orçamento mensal'!B9</x:f>
        <x:v>100</x:v>
      </x:c>
      <x:c r="C17" s="52" t="n">
        <x:f>'Orçamento mensal'!C9</x:f>
        <x:v>0</x:v>
      </x:c>
    </x:row>
    <x:row r="18">
      <x:c r="A18" s="102" t="str">
        <x:f>'Orçamento mensal'!A10</x:f>
        <x:v>Educação</x:v>
      </x:c>
      <x:c r="B18" s="52" t="n">
        <x:f>'Orçamento mensal'!B10</x:f>
        <x:v>100</x:v>
      </x:c>
      <x:c r="C18" s="52" t="n">
        <x:f>'Orçamento mensal'!C10</x:f>
        <x:v>0</x:v>
      </x:c>
    </x:row>
    <x:row r="19">
      <x:c r="A19" s="102" t="str">
        <x:f>'Orçamento mensal'!A11</x:f>
        <x:v>Assinaturas</x:v>
      </x:c>
      <x:c r="B19" s="52" t="n">
        <x:f>'Orçamento mensal'!B11</x:f>
        <x:v>80</x:v>
      </x:c>
      <x:c r="C19" s="52" t="n">
        <x:f>'Orçamento mensal'!C11</x:f>
        <x:v>0</x:v>
      </x:c>
    </x:row>
    <x:row r="20">
      <x:c r="A20" s="102" t="str">
        <x:f>'Orçamento mensal'!A12</x:f>
        <x:v>Contas e serviços</x:v>
      </x:c>
      <x:c r="B20" s="52" t="n">
        <x:f>'Orçamento mensal'!B12</x:f>
        <x:v>250</x:v>
      </x:c>
      <x:c r="C20" s="52" t="n">
        <x:f>'Orçamento mensal'!C12</x:f>
        <x:v>0</x:v>
      </x:c>
    </x:row>
    <x:row r="21">
      <x:c r="A21" s="102" t="str">
        <x:f>'Orçamento mensal'!A13</x:f>
        <x:v>Outros</x:v>
      </x:c>
      <x:c r="B21" s="52" t="n">
        <x:f>'Orçamento mensal'!B13</x:f>
        <x:v>100</x:v>
      </x:c>
      <x:c r="C21" s="52" t="n">
        <x:f>'Orçamento mensal'!C13</x:f>
        <x:v>0</x:v>
      </x:c>
    </x:row>
    <x:row r="22">
      <x:c r="A22" s="102" t="str">
        <x:f>'Orçamento mensal'!A14</x:f>
        <x:v>Objetivos</x:v>
      </x:c>
      <x:c r="B22" s="52" t="n">
        <x:f>'Orçamento mensal'!B14</x:f>
        <x:v>0</x:v>
      </x:c>
      <x:c r="C22" s="52" t="n">
        <x:f>'Orçamento mensal'!C14</x:f>
        <x:v>0</x:v>
      </x:c>
    </x:row>
    <x:row r="23">
      <x:c r="A23" s="102" t="str">
        <x:f>'Orçamento mensal'!A15</x:f>
        <x:v>Reserva de emergência</x:v>
      </x:c>
      <x:c r="B23" s="52" t="n">
        <x:f>'Orçamento mensal'!B15</x:f>
        <x:v>0</x:v>
      </x:c>
      <x:c r="C23" s="52" t="n">
        <x:f>'Orçamento mensal'!C15</x:f>
        <x:v>0</x:v>
      </x:c>
    </x:row>
  </x:sheetData>
  <x:mergeCells>
    <x:mergeCell ref="A1:H1"/>
    <x:mergeCell ref="A10:C10"/>
  </x:mergeCells>
  <x:conditionalFormatting sqref="F7:F7">
    <x:cfRule type="cellIs" dxfId="7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b803260e424485e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31" hidden="0" customWidth="1"/>
    <x:col min="5" max="5" width="20" hidden="0" customWidth="1"/>
  </x:cols>
  <x:sheetData>
    <x:row r="1" ht="30" customHeight="1">
      <x:c r="A1" s="34" t="str">
        <x:v>CONFIGURAÇÕES DO ORÇAMENTO</x:v>
      </x:c>
      <x:c r="B1" s="34"/>
      <x:c r="C1" s="34"/>
      <x:c r="D1" s="34"/>
    </x:row>
    <x:row r="2">
      <x:c r="A2" s="25" t="str">
        <x:v>Salário líquido mensal previsto (R$)</x:v>
      </x:c>
      <x:c r="B2" s="44" t="n">
        <x:v>3200</x:v>
      </x:c>
    </x:row>
    <x:row r="3">
      <x:c r="A3" s="25" t="str">
        <x:v>Dia esperado de recebimento</x:v>
      </x:c>
      <x:c r="B3" s="41" t="n">
        <x:v>5</x:v>
      </x:c>
    </x:row>
    <x:row r="4">
      <x:c r="A4" s="25" t="str">
        <x:v>Saldo bancário real informado (R$)</x:v>
      </x:c>
      <x:c r="B4" s="44" t="n">
        <x:v>2825</x:v>
      </x:c>
    </x:row>
    <x:row r="5">
      <x:c r="A5" s="25" t="str">
        <x:v>Meses de despesas essenciais na meta</x:v>
      </x:c>
      <x:c r="B5" s="41" t="n">
        <x:v>6</x:v>
      </x:c>
    </x:row>
    <x:row r="6">
      <x:c r="A6" s="25" t="str">
        <x:v>Meta manual da reserva (R$) — deixe 0 para estimar</x:v>
      </x:c>
      <x:c r="B6" s="44" t="n">
        <x:v>0</x:v>
      </x:c>
    </x:row>
    <x:row r="7">
      <x:c r="A7" s="25" t="str">
        <x:v>Alerta de orçamento inicial (%)</x:v>
      </x:c>
      <x:c r="B7" s="46" t="n">
        <x:v>70</x:v>
      </x:c>
    </x:row>
    <x:row r="8">
      <x:c r="A8" s="25" t="str">
        <x:v>Alerta de orçamento alto (%)</x:v>
      </x:c>
      <x:c r="B8" s="46" t="n">
        <x:v>90</x:v>
      </x:c>
    </x:row>
    <x:row r="9">
      <x:c r="A9" s="25" t="str">
        <x:v>Observação</x:v>
      </x:c>
      <x:c r="B9" t="str">
        <x:v>Valores acima são EXEMPLO; troque pelos seus.</x:v>
      </x:c>
    </x:row>
    <x:row r="11">
      <x:c r="A11" s="15" t="str">
        <x:v>Categorias para despesas e orçamentos</x:v>
      </x:c>
      <x:c r="B11" s="15" t="str"/>
      <x:c r="D11" s="15" t="str">
        <x:v>Categorias gerais (inclui receitas)</x:v>
      </x:c>
      <x:c r="E11" s="15" t="str"/>
    </x:row>
    <x:row r="12">
      <x:c r="A12" s="20" t="str">
        <x:v>Moradia</x:v>
      </x:c>
      <x:c r="D12" s="20" t="str">
        <x:v>Moradia</x:v>
      </x:c>
    </x:row>
    <x:row r="13">
      <x:c r="A13" s="20" t="str">
        <x:v>Alimentação</x:v>
      </x:c>
      <x:c r="D13" s="20" t="str">
        <x:v>Alimentação</x:v>
      </x:c>
    </x:row>
    <x:row r="14">
      <x:c r="A14" s="20" t="str">
        <x:v>Transporte</x:v>
      </x:c>
      <x:c r="D14" s="20" t="str">
        <x:v>Transporte</x:v>
      </x:c>
    </x:row>
    <x:row r="15">
      <x:c r="A15" s="20" t="str">
        <x:v>Saúde</x:v>
      </x:c>
      <x:c r="D15" s="20" t="str">
        <x:v>Saúde</x:v>
      </x:c>
    </x:row>
    <x:row r="16">
      <x:c r="A16" s="20" t="str">
        <x:v>Educação</x:v>
      </x:c>
      <x:c r="D16" s="20" t="str">
        <x:v>Educação</x:v>
      </x:c>
    </x:row>
    <x:row r="17">
      <x:c r="A17" s="20" t="str">
        <x:v>Lazer</x:v>
      </x:c>
      <x:c r="D17" s="20" t="str">
        <x:v>Lazer</x:v>
      </x:c>
    </x:row>
    <x:row r="18">
      <x:c r="A18" s="20" t="str">
        <x:v>Compras</x:v>
      </x:c>
      <x:c r="D18" s="20" t="str">
        <x:v>Compras</x:v>
      </x:c>
    </x:row>
    <x:row r="19">
      <x:c r="A19" s="20" t="str">
        <x:v>Assinaturas</x:v>
      </x:c>
      <x:c r="D19" s="20" t="str">
        <x:v>Assinaturas</x:v>
      </x:c>
    </x:row>
    <x:row r="20">
      <x:c r="A20" s="20" t="str">
        <x:v>Contas e serviços</x:v>
      </x:c>
      <x:c r="D20" s="20" t="str">
        <x:v>Contas e serviços</x:v>
      </x:c>
    </x:row>
    <x:row r="21">
      <x:c r="A21" s="20" t="str">
        <x:v>Outros</x:v>
      </x:c>
      <x:c r="D21" s="20" t="str">
        <x:v>Outros</x:v>
      </x:c>
    </x:row>
    <x:row r="22">
      <x:c r="A22" s="20" t="str">
        <x:v>Objetivos</x:v>
      </x:c>
      <x:c r="D22" s="20" t="str">
        <x:v>Objetivos</x:v>
      </x:c>
    </x:row>
    <x:row r="23">
      <x:c r="A23" s="20" t="str">
        <x:v>Reserva de emergência</x:v>
      </x:c>
      <x:c r="D23" s="20" t="str">
        <x:v>Reserva de emergência</x:v>
      </x:c>
    </x:row>
    <x:row r="24">
      <x:c r="A24" s="20"/>
      <x:c r="D24" s="20" t="str">
        <x:v>Salário</x:v>
      </x:c>
    </x:row>
    <x:row r="25">
      <x:c r="A25" s="20"/>
      <x:c r="D25" s="20" t="str">
        <x:v>Renda extra</x:v>
      </x:c>
    </x:row>
    <x:row r="26">
      <x:c r="A26" s="20"/>
      <x:c r="D26" s="20"/>
    </x:row>
    <x:row r="27">
      <x:c r="A27" s="20"/>
      <x:c r="D27" s="20"/>
    </x:row>
    <x:row r="28">
      <x:c r="A28" s="20"/>
      <x:c r="D28" s="20"/>
    </x:row>
    <x:row r="29">
      <x:c r="A29" s="20"/>
      <x:c r="D29" s="20"/>
    </x:row>
    <x:row r="30">
      <x:c r="A30" s="20"/>
      <x:c r="D30" s="20"/>
    </x:row>
    <x:row r="31">
      <x:c r="A31" s="20"/>
      <x:c r="D31" s="20"/>
    </x:row>
    <x:row r="32">
      <x:c r="A32" s="20"/>
      <x:c r="D32" s="20"/>
    </x:row>
    <x:row r="33">
      <x:c r="A33" s="20"/>
      <x:c r="D33" s="20"/>
    </x:row>
    <x:row r="34">
      <x:c r="A34" s="20"/>
      <x:c r="D34" s="20"/>
    </x:row>
    <x:row r="35">
      <x:c r="A35" s="20"/>
      <x:c r="D35" s="20"/>
    </x:row>
    <x:row r="36">
      <x:c r="A36" s="20"/>
      <x:c r="D36" s="20"/>
    </x:row>
    <x:row r="37">
      <x:c r="A37" s="20"/>
      <x:c r="D37" s="20"/>
    </x:row>
    <x:row r="38">
      <x:c r="A38" s="20"/>
      <x:c r="D38" s="20"/>
    </x:row>
    <x:row r="39">
      <x:c r="A39" s="20"/>
      <x:c r="D39" s="20"/>
    </x:row>
    <x:row r="40">
      <x:c r="A40" s="20"/>
      <x:c r="D40" s="20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2" hidden="0" customWidth="1"/>
    <x:col min="4" max="4" width="34" hidden="0" customWidth="1"/>
    <x:col min="5" max="5" width="15" hidden="0" customWidth="1"/>
    <x:col min="6" max="6" width="15" hidden="0" customWidth="1"/>
    <x:col min="7" max="7" width="28" hidden="0" customWidth="1"/>
    <x:col min="8" max="8" width="18" hidden="0" customWidth="1"/>
    <x:col min="9" max="9" width="13" hidden="0" customWidth="1"/>
    <x:col min="10" max="10" width="13" hidden="0" customWidth="1"/>
  </x:cols>
  <x:sheetData>
    <x:row r="1" ht="30" customHeight="1">
      <x:c r="A1" s="48" t="str">
        <x:v>Data</x:v>
      </x:c>
      <x:c r="B1" s="48" t="str">
        <x:v>Tipo</x:v>
      </x:c>
      <x:c r="C1" s="48" t="str">
        <x:v>Categoria</x:v>
      </x:c>
      <x:c r="D1" s="48" t="str">
        <x:v>Descrição</x:v>
      </x:c>
      <x:c r="E1" s="48" t="str">
        <x:v>Valor (R$)</x:v>
      </x:c>
      <x:c r="F1" s="48" t="str">
        <x:v>Situação</x:v>
      </x:c>
      <x:c r="G1" s="48" t="str">
        <x:v>Objetivo (nome exato)</x:v>
      </x:c>
      <x:c r="H1" s="48" t="str">
        <x:v>Conta/meio</x:v>
      </x:c>
      <x:c r="I1" s="48" t="str">
        <x:v>Essencial?</x:v>
      </x:c>
      <x:c r="J1" s="48" t="str">
        <x:v>Marca</x:v>
      </x:c>
    </x:row>
    <x:row r="2">
      <x:c r="A2" s="50" t="n">
        <x:v>46300</x:v>
      </x:c>
      <x:c r="B2" s="20" t="str">
        <x:v>Receita</x:v>
      </x:c>
      <x:c r="C2" s="20" t="str">
        <x:v>Salário</x:v>
      </x:c>
      <x:c r="D2" s="20" t="str">
        <x:v>Salário recebido (EXEMPLO)</x:v>
      </x:c>
      <x:c r="E2" s="52" t="n">
        <x:v>3200</x:v>
      </x:c>
      <x:c r="F2" s="20" t="str">
        <x:v>Recebido</x:v>
      </x:c>
      <x:c r="G2" s="20" t="str"/>
      <x:c r="H2" s="20" t="str">
        <x:v>Conta principal</x:v>
      </x:c>
      <x:c r="I2" s="20" t="str">
        <x:v>Não</x:v>
      </x:c>
      <x:c r="J2" s="55" t="str">
        <x:v>EXEMPLO</x:v>
      </x:c>
    </x:row>
    <x:row r="3">
      <x:c r="A3" s="50" t="n">
        <x:v>46305</x:v>
      </x:c>
      <x:c r="B3" s="20" t="str">
        <x:v>Despesa</x:v>
      </x:c>
      <x:c r="C3" s="20" t="str">
        <x:v>Alimentação</x:v>
      </x:c>
      <x:c r="D3" s="20" t="str">
        <x:v>Mercado (EXEMPLO)</x:v>
      </x:c>
      <x:c r="E3" s="52" t="n">
        <x:v>245</x:v>
      </x:c>
      <x:c r="F3" s="20" t="str">
        <x:v>Pago</x:v>
      </x:c>
      <x:c r="G3" s="20" t="str"/>
      <x:c r="H3" s="20" t="str">
        <x:v>Débito</x:v>
      </x:c>
      <x:c r="I3" s="20" t="str">
        <x:v>Sim</x:v>
      </x:c>
      <x:c r="J3" s="55" t="str">
        <x:v>EXEMPLO</x:v>
      </x:c>
    </x:row>
    <x:row r="4">
      <x:c r="A4" s="50" t="n">
        <x:v>46306</x:v>
      </x:c>
      <x:c r="B4" s="20" t="str">
        <x:v>Despesa</x:v>
      </x:c>
      <x:c r="C4" s="20" t="str">
        <x:v>Transporte</x:v>
      </x:c>
      <x:c r="D4" s="20" t="str">
        <x:v>Transporte (EXEMPLO)</x:v>
      </x:c>
      <x:c r="E4" s="52" t="n">
        <x:v>65</x:v>
      </x:c>
      <x:c r="F4" s="20" t="str">
        <x:v>Pago</x:v>
      </x:c>
      <x:c r="G4" s="20" t="str"/>
      <x:c r="H4" s="20" t="str">
        <x:v>Cartão</x:v>
      </x:c>
      <x:c r="I4" s="20" t="str">
        <x:v>Sim</x:v>
      </x:c>
      <x:c r="J4" s="55" t="str">
        <x:v>EXEMPLO</x:v>
      </x:c>
    </x:row>
    <x:row r="5">
      <x:c r="A5" s="50" t="n">
        <x:v>46310</x:v>
      </x:c>
      <x:c r="B5" s="20" t="str">
        <x:v>Despesa</x:v>
      </x:c>
      <x:c r="C5" s="20" t="str">
        <x:v>Lazer</x:v>
      </x:c>
      <x:c r="D5" s="20" t="str">
        <x:v>Lazer (EXEMPLO)</x:v>
      </x:c>
      <x:c r="E5" s="52" t="n">
        <x:v>45</x:v>
      </x:c>
      <x:c r="F5" s="20" t="str">
        <x:v>Pago</x:v>
      </x:c>
      <x:c r="G5" s="20" t="str"/>
      <x:c r="H5" s="20" t="str">
        <x:v>Pix</x:v>
      </x:c>
      <x:c r="I5" s="20" t="str">
        <x:v>Não</x:v>
      </x:c>
      <x:c r="J5" s="55" t="str">
        <x:v>EXEMPLO</x:v>
      </x:c>
    </x:row>
    <x:row r="6">
      <x:c r="A6" s="50" t="n">
        <x:v>46313</x:v>
      </x:c>
      <x:c r="B6" s="20" t="str">
        <x:v>Aporte objetivo</x:v>
      </x:c>
      <x:c r="C6" s="20" t="str">
        <x:v>Objetivos</x:v>
      </x:c>
      <x:c r="D6" s="20" t="str">
        <x:v>Aporte computador (EXEMPLO)</x:v>
      </x:c>
      <x:c r="E6" s="52" t="n">
        <x:v>200</x:v>
      </x:c>
      <x:c r="F6" s="20" t="str">
        <x:v>Realizado</x:v>
      </x:c>
      <x:c r="G6" s="20" t="str">
        <x:v>Computador (EXEMPLO)</x:v>
      </x:c>
      <x:c r="H6" s="20" t="str"/>
      <x:c r="I6" s="20" t="str">
        <x:v>Não</x:v>
      </x:c>
      <x:c r="J6" s="55" t="str">
        <x:v>EXEMPLO</x:v>
      </x:c>
    </x:row>
    <x:row r="7">
      <x:c r="A7" s="50" t="n">
        <x:v>46315</x:v>
      </x:c>
      <x:c r="B7" s="20" t="str">
        <x:v>Aporte reserva</x:v>
      </x:c>
      <x:c r="C7" s="20" t="str">
        <x:v>Reserva de emergência</x:v>
      </x:c>
      <x:c r="D7" s="20" t="str">
        <x:v>Aporte reserva (EXEMPLO)</x:v>
      </x:c>
      <x:c r="E7" s="52" t="n">
        <x:v>150</x:v>
      </x:c>
      <x:c r="F7" s="20" t="str">
        <x:v>Realizado</x:v>
      </x:c>
      <x:c r="G7" s="20" t="str"/>
      <x:c r="H7" s="20" t="str">
        <x:v>Transferência</x:v>
      </x:c>
      <x:c r="I7" s="20" t="str">
        <x:v>Não</x:v>
      </x:c>
      <x:c r="J7" s="55" t="str">
        <x:v>EXEMPLO</x:v>
      </x:c>
    </x:row>
    <x:row r="8">
      <x:c r="A8" s="50"/>
      <x:c r="B8" s="20"/>
      <x:c r="C8" s="20"/>
      <x:c r="D8" s="20"/>
      <x:c r="E8" s="52"/>
      <x:c r="F8" s="20"/>
      <x:c r="G8" s="20"/>
      <x:c r="H8" s="20"/>
      <x:c r="I8" s="20"/>
      <x:c r="J8" s="20"/>
    </x:row>
    <x:row r="9">
      <x:c r="A9" s="50"/>
      <x:c r="B9" s="20"/>
      <x:c r="C9" s="20"/>
      <x:c r="D9" s="20"/>
      <x:c r="E9" s="52"/>
      <x:c r="F9" s="20"/>
      <x:c r="G9" s="20"/>
      <x:c r="H9" s="20"/>
      <x:c r="I9" s="20"/>
      <x:c r="J9" s="20"/>
    </x:row>
    <x:row r="10">
      <x:c r="A10" s="50"/>
      <x:c r="B10" s="20"/>
      <x:c r="C10" s="20"/>
      <x:c r="D10" s="20"/>
      <x:c r="E10" s="52"/>
      <x:c r="F10" s="20"/>
      <x:c r="G10" s="20"/>
      <x:c r="H10" s="20"/>
      <x:c r="I10" s="20"/>
      <x:c r="J10" s="20"/>
    </x:row>
    <x:row r="11">
      <x:c r="A11" s="50"/>
      <x:c r="B11" s="20"/>
      <x:c r="C11" s="20"/>
      <x:c r="D11" s="20"/>
      <x:c r="E11" s="52"/>
      <x:c r="F11" s="20"/>
      <x:c r="G11" s="20"/>
      <x:c r="H11" s="20"/>
      <x:c r="I11" s="20"/>
      <x:c r="J11" s="20"/>
    </x:row>
    <x:row r="12">
      <x:c r="A12" s="50"/>
      <x:c r="B12" s="20"/>
      <x:c r="C12" s="20"/>
      <x:c r="D12" s="20"/>
      <x:c r="E12" s="52"/>
      <x:c r="F12" s="20"/>
      <x:c r="G12" s="20"/>
      <x:c r="H12" s="20"/>
      <x:c r="I12" s="20"/>
      <x:c r="J12" s="20"/>
    </x:row>
    <x:row r="13">
      <x:c r="A13" s="50"/>
      <x:c r="B13" s="20"/>
      <x:c r="C13" s="20"/>
      <x:c r="D13" s="20"/>
      <x:c r="E13" s="52"/>
      <x:c r="F13" s="20"/>
      <x:c r="G13" s="20"/>
      <x:c r="H13" s="20"/>
      <x:c r="I13" s="20"/>
      <x:c r="J13" s="20"/>
    </x:row>
    <x:row r="14">
      <x:c r="A14" s="50"/>
      <x:c r="B14" s="20"/>
      <x:c r="C14" s="20"/>
      <x:c r="D14" s="20"/>
      <x:c r="E14" s="52"/>
      <x:c r="F14" s="20"/>
      <x:c r="G14" s="20"/>
      <x:c r="H14" s="20"/>
      <x:c r="I14" s="20"/>
      <x:c r="J14" s="20"/>
    </x:row>
    <x:row r="15">
      <x:c r="A15" s="50"/>
      <x:c r="B15" s="20"/>
      <x:c r="C15" s="20"/>
      <x:c r="D15" s="20"/>
      <x:c r="E15" s="52"/>
      <x:c r="F15" s="20"/>
      <x:c r="G15" s="20"/>
      <x:c r="H15" s="20"/>
      <x:c r="I15" s="20"/>
      <x:c r="J15" s="20"/>
    </x:row>
    <x:row r="16">
      <x:c r="A16" s="50"/>
      <x:c r="B16" s="20"/>
      <x:c r="C16" s="20"/>
      <x:c r="D16" s="20"/>
      <x:c r="E16" s="52"/>
      <x:c r="F16" s="20"/>
      <x:c r="G16" s="20"/>
      <x:c r="H16" s="20"/>
      <x:c r="I16" s="20"/>
      <x:c r="J16" s="20"/>
    </x:row>
    <x:row r="17">
      <x:c r="A17" s="50"/>
      <x:c r="B17" s="20"/>
      <x:c r="C17" s="20"/>
      <x:c r="D17" s="20"/>
      <x:c r="E17" s="52"/>
      <x:c r="F17" s="20"/>
      <x:c r="G17" s="20"/>
      <x:c r="H17" s="20"/>
      <x:c r="I17" s="20"/>
      <x:c r="J17" s="20"/>
    </x:row>
    <x:row r="18">
      <x:c r="A18" s="50"/>
      <x:c r="B18" s="20"/>
      <x:c r="C18" s="20"/>
      <x:c r="D18" s="20"/>
      <x:c r="E18" s="52"/>
      <x:c r="F18" s="20"/>
      <x:c r="G18" s="20"/>
      <x:c r="H18" s="20"/>
      <x:c r="I18" s="20"/>
      <x:c r="J18" s="20"/>
    </x:row>
    <x:row r="19">
      <x:c r="A19" s="50"/>
      <x:c r="B19" s="20"/>
      <x:c r="C19" s="20"/>
      <x:c r="D19" s="20"/>
      <x:c r="E19" s="52"/>
      <x:c r="F19" s="20"/>
      <x:c r="G19" s="20"/>
      <x:c r="H19" s="20"/>
      <x:c r="I19" s="20"/>
      <x:c r="J19" s="20"/>
    </x:row>
    <x:row r="20">
      <x:c r="A20" s="50"/>
      <x:c r="B20" s="20"/>
      <x:c r="C20" s="20"/>
      <x:c r="D20" s="20"/>
      <x:c r="E20" s="52"/>
      <x:c r="F20" s="20"/>
      <x:c r="G20" s="20"/>
      <x:c r="H20" s="20"/>
      <x:c r="I20" s="20"/>
      <x:c r="J20" s="20"/>
    </x:row>
    <x:row r="21">
      <x:c r="A21" s="50"/>
      <x:c r="B21" s="20"/>
      <x:c r="C21" s="20"/>
      <x:c r="D21" s="20"/>
      <x:c r="E21" s="52"/>
      <x:c r="F21" s="20"/>
      <x:c r="G21" s="20"/>
      <x:c r="H21" s="20"/>
      <x:c r="I21" s="20"/>
      <x:c r="J21" s="20"/>
    </x:row>
    <x:row r="22">
      <x:c r="A22" s="50"/>
      <x:c r="B22" s="20"/>
      <x:c r="C22" s="20"/>
      <x:c r="D22" s="20"/>
      <x:c r="E22" s="52"/>
      <x:c r="F22" s="20"/>
      <x:c r="G22" s="20"/>
      <x:c r="H22" s="20"/>
      <x:c r="I22" s="20"/>
      <x:c r="J22" s="20"/>
    </x:row>
    <x:row r="23">
      <x:c r="A23" s="50"/>
      <x:c r="B23" s="20"/>
      <x:c r="C23" s="20"/>
      <x:c r="D23" s="20"/>
      <x:c r="E23" s="52"/>
      <x:c r="F23" s="20"/>
      <x:c r="G23" s="20"/>
      <x:c r="H23" s="20"/>
      <x:c r="I23" s="20"/>
      <x:c r="J23" s="20"/>
    </x:row>
    <x:row r="24">
      <x:c r="A24" s="50"/>
      <x:c r="B24" s="20"/>
      <x:c r="C24" s="20"/>
      <x:c r="D24" s="20"/>
      <x:c r="E24" s="52"/>
      <x:c r="F24" s="20"/>
      <x:c r="G24" s="20"/>
      <x:c r="H24" s="20"/>
      <x:c r="I24" s="20"/>
      <x:c r="J24" s="20"/>
    </x:row>
    <x:row r="25">
      <x:c r="A25" s="50"/>
      <x:c r="B25" s="20"/>
      <x:c r="C25" s="20"/>
      <x:c r="D25" s="20"/>
      <x:c r="E25" s="52"/>
      <x:c r="F25" s="20"/>
      <x:c r="G25" s="20"/>
      <x:c r="H25" s="20"/>
      <x:c r="I25" s="20"/>
      <x:c r="J25" s="20"/>
    </x:row>
    <x:row r="26">
      <x:c r="A26" s="50"/>
      <x:c r="B26" s="20"/>
      <x:c r="C26" s="20"/>
      <x:c r="D26" s="20"/>
      <x:c r="E26" s="52"/>
      <x:c r="F26" s="20"/>
      <x:c r="G26" s="20"/>
      <x:c r="H26" s="20"/>
      <x:c r="I26" s="20"/>
      <x:c r="J26" s="20"/>
    </x:row>
    <x:row r="27">
      <x:c r="A27" s="50"/>
      <x:c r="B27" s="20"/>
      <x:c r="C27" s="20"/>
      <x:c r="D27" s="20"/>
      <x:c r="E27" s="52"/>
      <x:c r="F27" s="20"/>
      <x:c r="G27" s="20"/>
      <x:c r="H27" s="20"/>
      <x:c r="I27" s="20"/>
      <x:c r="J27" s="20"/>
    </x:row>
    <x:row r="28">
      <x:c r="A28" s="50"/>
      <x:c r="B28" s="20"/>
      <x:c r="C28" s="20"/>
      <x:c r="D28" s="20"/>
      <x:c r="E28" s="52"/>
      <x:c r="F28" s="20"/>
      <x:c r="G28" s="20"/>
      <x:c r="H28" s="20"/>
      <x:c r="I28" s="20"/>
      <x:c r="J28" s="20"/>
    </x:row>
    <x:row r="29">
      <x:c r="A29" s="50"/>
      <x:c r="B29" s="20"/>
      <x:c r="C29" s="20"/>
      <x:c r="D29" s="20"/>
      <x:c r="E29" s="52"/>
      <x:c r="F29" s="20"/>
      <x:c r="G29" s="20"/>
      <x:c r="H29" s="20"/>
      <x:c r="I29" s="20"/>
      <x:c r="J29" s="20"/>
    </x:row>
    <x:row r="30">
      <x:c r="A30" s="50"/>
      <x:c r="B30" s="20"/>
      <x:c r="C30" s="20"/>
      <x:c r="D30" s="20"/>
      <x:c r="E30" s="52"/>
      <x:c r="F30" s="20"/>
      <x:c r="G30" s="20"/>
      <x:c r="H30" s="20"/>
      <x:c r="I30" s="20"/>
      <x:c r="J30" s="20"/>
    </x:row>
    <x:row r="31">
      <x:c r="A31" s="50"/>
      <x:c r="B31" s="20"/>
      <x:c r="C31" s="20"/>
      <x:c r="D31" s="20"/>
      <x:c r="E31" s="52"/>
      <x:c r="F31" s="20"/>
      <x:c r="G31" s="20"/>
      <x:c r="H31" s="20"/>
      <x:c r="I31" s="20"/>
      <x:c r="J31" s="20"/>
    </x:row>
    <x:row r="32">
      <x:c r="A32" s="50"/>
      <x:c r="B32" s="20"/>
      <x:c r="C32" s="20"/>
      <x:c r="D32" s="20"/>
      <x:c r="E32" s="52"/>
      <x:c r="F32" s="20"/>
      <x:c r="G32" s="20"/>
      <x:c r="H32" s="20"/>
      <x:c r="I32" s="20"/>
      <x:c r="J32" s="20"/>
    </x:row>
    <x:row r="33">
      <x:c r="A33" s="50"/>
      <x:c r="B33" s="20"/>
      <x:c r="C33" s="20"/>
      <x:c r="D33" s="20"/>
      <x:c r="E33" s="52"/>
      <x:c r="F33" s="20"/>
      <x:c r="G33" s="20"/>
      <x:c r="H33" s="20"/>
      <x:c r="I33" s="20"/>
      <x:c r="J33" s="20"/>
    </x:row>
    <x:row r="34">
      <x:c r="A34" s="50"/>
      <x:c r="B34" s="20"/>
      <x:c r="C34" s="20"/>
      <x:c r="D34" s="20"/>
      <x:c r="E34" s="52"/>
      <x:c r="F34" s="20"/>
      <x:c r="G34" s="20"/>
      <x:c r="H34" s="20"/>
      <x:c r="I34" s="20"/>
      <x:c r="J34" s="20"/>
    </x:row>
    <x:row r="35">
      <x:c r="A35" s="50"/>
      <x:c r="B35" s="20"/>
      <x:c r="C35" s="20"/>
      <x:c r="D35" s="20"/>
      <x:c r="E35" s="52"/>
      <x:c r="F35" s="20"/>
      <x:c r="G35" s="20"/>
      <x:c r="H35" s="20"/>
      <x:c r="I35" s="20"/>
      <x:c r="J35" s="20"/>
    </x:row>
    <x:row r="36">
      <x:c r="A36" s="50"/>
      <x:c r="B36" s="20"/>
      <x:c r="C36" s="20"/>
      <x:c r="D36" s="20"/>
      <x:c r="E36" s="52"/>
      <x:c r="F36" s="20"/>
      <x:c r="G36" s="20"/>
      <x:c r="H36" s="20"/>
      <x:c r="I36" s="20"/>
      <x:c r="J36" s="20"/>
    </x:row>
    <x:row r="37">
      <x:c r="A37" s="50"/>
      <x:c r="B37" s="20"/>
      <x:c r="C37" s="20"/>
      <x:c r="D37" s="20"/>
      <x:c r="E37" s="52"/>
      <x:c r="F37" s="20"/>
      <x:c r="G37" s="20"/>
      <x:c r="H37" s="20"/>
      <x:c r="I37" s="20"/>
      <x:c r="J37" s="20"/>
    </x:row>
    <x:row r="38">
      <x:c r="A38" s="50"/>
      <x:c r="B38" s="20"/>
      <x:c r="C38" s="20"/>
      <x:c r="D38" s="20"/>
      <x:c r="E38" s="52"/>
      <x:c r="F38" s="20"/>
      <x:c r="G38" s="20"/>
      <x:c r="H38" s="20"/>
      <x:c r="I38" s="20"/>
      <x:c r="J38" s="20"/>
    </x:row>
    <x:row r="39">
      <x:c r="A39" s="50"/>
      <x:c r="B39" s="20"/>
      <x:c r="C39" s="20"/>
      <x:c r="D39" s="20"/>
      <x:c r="E39" s="52"/>
      <x:c r="F39" s="20"/>
      <x:c r="G39" s="20"/>
      <x:c r="H39" s="20"/>
      <x:c r="I39" s="20"/>
      <x:c r="J39" s="20"/>
    </x:row>
    <x:row r="40">
      <x:c r="A40" s="50"/>
      <x:c r="B40" s="20"/>
      <x:c r="C40" s="20"/>
      <x:c r="D40" s="20"/>
      <x:c r="E40" s="52"/>
      <x:c r="F40" s="20"/>
      <x:c r="G40" s="20"/>
      <x:c r="H40" s="20"/>
      <x:c r="I40" s="20"/>
      <x:c r="J40" s="20"/>
    </x:row>
    <x:row r="41">
      <x:c r="A41" s="50"/>
      <x:c r="B41" s="20"/>
      <x:c r="C41" s="20"/>
      <x:c r="D41" s="20"/>
      <x:c r="E41" s="52"/>
      <x:c r="F41" s="20"/>
      <x:c r="G41" s="20"/>
      <x:c r="H41" s="20"/>
      <x:c r="I41" s="20"/>
      <x:c r="J41" s="20"/>
    </x:row>
    <x:row r="42">
      <x:c r="A42" s="50"/>
      <x:c r="B42" s="20"/>
      <x:c r="C42" s="20"/>
      <x:c r="D42" s="20"/>
      <x:c r="E42" s="52"/>
      <x:c r="F42" s="20"/>
      <x:c r="G42" s="20"/>
      <x:c r="H42" s="20"/>
      <x:c r="I42" s="20"/>
      <x:c r="J42" s="20"/>
    </x:row>
    <x:row r="43">
      <x:c r="A43" s="50"/>
      <x:c r="B43" s="20"/>
      <x:c r="C43" s="20"/>
      <x:c r="D43" s="20"/>
      <x:c r="E43" s="52"/>
      <x:c r="F43" s="20"/>
      <x:c r="G43" s="20"/>
      <x:c r="H43" s="20"/>
      <x:c r="I43" s="20"/>
      <x:c r="J43" s="20"/>
    </x:row>
    <x:row r="44">
      <x:c r="A44" s="50"/>
      <x:c r="B44" s="20"/>
      <x:c r="C44" s="20"/>
      <x:c r="D44" s="20"/>
      <x:c r="E44" s="52"/>
      <x:c r="F44" s="20"/>
      <x:c r="G44" s="20"/>
      <x:c r="H44" s="20"/>
      <x:c r="I44" s="20"/>
      <x:c r="J44" s="20"/>
    </x:row>
    <x:row r="45">
      <x:c r="A45" s="50"/>
      <x:c r="B45" s="20"/>
      <x:c r="C45" s="20"/>
      <x:c r="D45" s="20"/>
      <x:c r="E45" s="52"/>
      <x:c r="F45" s="20"/>
      <x:c r="G45" s="20"/>
      <x:c r="H45" s="20"/>
      <x:c r="I45" s="20"/>
      <x:c r="J45" s="20"/>
    </x:row>
    <x:row r="46">
      <x:c r="A46" s="50"/>
      <x:c r="B46" s="20"/>
      <x:c r="C46" s="20"/>
      <x:c r="D46" s="20"/>
      <x:c r="E46" s="52"/>
      <x:c r="F46" s="20"/>
      <x:c r="G46" s="20"/>
      <x:c r="H46" s="20"/>
      <x:c r="I46" s="20"/>
      <x:c r="J46" s="20"/>
    </x:row>
    <x:row r="47">
      <x:c r="A47" s="50"/>
      <x:c r="B47" s="20"/>
      <x:c r="C47" s="20"/>
      <x:c r="D47" s="20"/>
      <x:c r="E47" s="52"/>
      <x:c r="F47" s="20"/>
      <x:c r="G47" s="20"/>
      <x:c r="H47" s="20"/>
      <x:c r="I47" s="20"/>
      <x:c r="J47" s="20"/>
    </x:row>
    <x:row r="48">
      <x:c r="A48" s="50"/>
      <x:c r="B48" s="20"/>
      <x:c r="C48" s="20"/>
      <x:c r="D48" s="20"/>
      <x:c r="E48" s="52"/>
      <x:c r="F48" s="20"/>
      <x:c r="G48" s="20"/>
      <x:c r="H48" s="20"/>
      <x:c r="I48" s="20"/>
      <x:c r="J48" s="20"/>
    </x:row>
    <x:row r="49">
      <x:c r="A49" s="50"/>
      <x:c r="B49" s="20"/>
      <x:c r="C49" s="20"/>
      <x:c r="D49" s="20"/>
      <x:c r="E49" s="52"/>
      <x:c r="F49" s="20"/>
      <x:c r="G49" s="20"/>
      <x:c r="H49" s="20"/>
      <x:c r="I49" s="20"/>
      <x:c r="J49" s="20"/>
    </x:row>
    <x:row r="50">
      <x:c r="A50" s="50"/>
      <x:c r="B50" s="20"/>
      <x:c r="C50" s="20"/>
      <x:c r="D50" s="20"/>
      <x:c r="E50" s="52"/>
      <x:c r="F50" s="20"/>
      <x:c r="G50" s="20"/>
      <x:c r="H50" s="20"/>
      <x:c r="I50" s="20"/>
      <x:c r="J50" s="20"/>
    </x:row>
    <x:row r="51">
      <x:c r="A51" s="50"/>
      <x:c r="B51" s="20"/>
      <x:c r="C51" s="20"/>
      <x:c r="D51" s="20"/>
      <x:c r="E51" s="52"/>
      <x:c r="F51" s="20"/>
      <x:c r="G51" s="20"/>
      <x:c r="H51" s="20"/>
      <x:c r="I51" s="20"/>
      <x:c r="J51" s="20"/>
    </x:row>
    <x:row r="52">
      <x:c r="A52" s="50"/>
      <x:c r="B52" s="20"/>
      <x:c r="C52" s="20"/>
      <x:c r="D52" s="20"/>
      <x:c r="E52" s="52"/>
      <x:c r="F52" s="20"/>
      <x:c r="G52" s="20"/>
      <x:c r="H52" s="20"/>
      <x:c r="I52" s="20"/>
      <x:c r="J52" s="20"/>
    </x:row>
    <x:row r="53">
      <x:c r="A53" s="50"/>
      <x:c r="B53" s="20"/>
      <x:c r="C53" s="20"/>
      <x:c r="D53" s="20"/>
      <x:c r="E53" s="52"/>
      <x:c r="F53" s="20"/>
      <x:c r="G53" s="20"/>
      <x:c r="H53" s="20"/>
      <x:c r="I53" s="20"/>
      <x:c r="J53" s="20"/>
    </x:row>
    <x:row r="54">
      <x:c r="A54" s="50"/>
      <x:c r="B54" s="20"/>
      <x:c r="C54" s="20"/>
      <x:c r="D54" s="20"/>
      <x:c r="E54" s="52"/>
      <x:c r="F54" s="20"/>
      <x:c r="G54" s="20"/>
      <x:c r="H54" s="20"/>
      <x:c r="I54" s="20"/>
      <x:c r="J54" s="20"/>
    </x:row>
    <x:row r="55">
      <x:c r="A55" s="50"/>
      <x:c r="B55" s="20"/>
      <x:c r="C55" s="20"/>
      <x:c r="D55" s="20"/>
      <x:c r="E55" s="52"/>
      <x:c r="F55" s="20"/>
      <x:c r="G55" s="20"/>
      <x:c r="H55" s="20"/>
      <x:c r="I55" s="20"/>
      <x:c r="J55" s="20"/>
    </x:row>
    <x:row r="56">
      <x:c r="A56" s="50"/>
      <x:c r="B56" s="20"/>
      <x:c r="C56" s="20"/>
      <x:c r="D56" s="20"/>
      <x:c r="E56" s="52"/>
      <x:c r="F56" s="20"/>
      <x:c r="G56" s="20"/>
      <x:c r="H56" s="20"/>
      <x:c r="I56" s="20"/>
      <x:c r="J56" s="20"/>
    </x:row>
    <x:row r="57">
      <x:c r="A57" s="50"/>
      <x:c r="B57" s="20"/>
      <x:c r="C57" s="20"/>
      <x:c r="D57" s="20"/>
      <x:c r="E57" s="52"/>
      <x:c r="F57" s="20"/>
      <x:c r="G57" s="20"/>
      <x:c r="H57" s="20"/>
      <x:c r="I57" s="20"/>
      <x:c r="J57" s="20"/>
    </x:row>
    <x:row r="58">
      <x:c r="A58" s="50"/>
      <x:c r="B58" s="20"/>
      <x:c r="C58" s="20"/>
      <x:c r="D58" s="20"/>
      <x:c r="E58" s="52"/>
      <x:c r="F58" s="20"/>
      <x:c r="G58" s="20"/>
      <x:c r="H58" s="20"/>
      <x:c r="I58" s="20"/>
      <x:c r="J58" s="20"/>
    </x:row>
    <x:row r="59">
      <x:c r="A59" s="50"/>
      <x:c r="B59" s="20"/>
      <x:c r="C59" s="20"/>
      <x:c r="D59" s="20"/>
      <x:c r="E59" s="52"/>
      <x:c r="F59" s="20"/>
      <x:c r="G59" s="20"/>
      <x:c r="H59" s="20"/>
      <x:c r="I59" s="20"/>
      <x:c r="J59" s="20"/>
    </x:row>
    <x:row r="60">
      <x:c r="A60" s="50"/>
      <x:c r="B60" s="20"/>
      <x:c r="C60" s="20"/>
      <x:c r="D60" s="20"/>
      <x:c r="E60" s="52"/>
      <x:c r="F60" s="20"/>
      <x:c r="G60" s="20"/>
      <x:c r="H60" s="20"/>
      <x:c r="I60" s="20"/>
      <x:c r="J60" s="20"/>
    </x:row>
    <x:row r="61">
      <x:c r="A61" s="50"/>
      <x:c r="B61" s="20"/>
      <x:c r="C61" s="20"/>
      <x:c r="D61" s="20"/>
      <x:c r="E61" s="52"/>
      <x:c r="F61" s="20"/>
      <x:c r="G61" s="20"/>
      <x:c r="H61" s="20"/>
      <x:c r="I61" s="20"/>
      <x:c r="J61" s="20"/>
    </x:row>
    <x:row r="62">
      <x:c r="A62" s="50"/>
      <x:c r="B62" s="20"/>
      <x:c r="C62" s="20"/>
      <x:c r="D62" s="20"/>
      <x:c r="E62" s="52"/>
      <x:c r="F62" s="20"/>
      <x:c r="G62" s="20"/>
      <x:c r="H62" s="20"/>
      <x:c r="I62" s="20"/>
      <x:c r="J62" s="20"/>
    </x:row>
    <x:row r="63">
      <x:c r="A63" s="50"/>
      <x:c r="B63" s="20"/>
      <x:c r="C63" s="20"/>
      <x:c r="D63" s="20"/>
      <x:c r="E63" s="52"/>
      <x:c r="F63" s="20"/>
      <x:c r="G63" s="20"/>
      <x:c r="H63" s="20"/>
      <x:c r="I63" s="20"/>
      <x:c r="J63" s="20"/>
    </x:row>
    <x:row r="64">
      <x:c r="A64" s="50"/>
      <x:c r="B64" s="20"/>
      <x:c r="C64" s="20"/>
      <x:c r="D64" s="20"/>
      <x:c r="E64" s="52"/>
      <x:c r="F64" s="20"/>
      <x:c r="G64" s="20"/>
      <x:c r="H64" s="20"/>
      <x:c r="I64" s="20"/>
      <x:c r="J64" s="20"/>
    </x:row>
    <x:row r="65">
      <x:c r="A65" s="50"/>
      <x:c r="B65" s="20"/>
      <x:c r="C65" s="20"/>
      <x:c r="D65" s="20"/>
      <x:c r="E65" s="52"/>
      <x:c r="F65" s="20"/>
      <x:c r="G65" s="20"/>
      <x:c r="H65" s="20"/>
      <x:c r="I65" s="20"/>
      <x:c r="J65" s="20"/>
    </x:row>
    <x:row r="66">
      <x:c r="A66" s="50"/>
      <x:c r="B66" s="20"/>
      <x:c r="C66" s="20"/>
      <x:c r="D66" s="20"/>
      <x:c r="E66" s="52"/>
      <x:c r="F66" s="20"/>
      <x:c r="G66" s="20"/>
      <x:c r="H66" s="20"/>
      <x:c r="I66" s="20"/>
      <x:c r="J66" s="20"/>
    </x:row>
    <x:row r="67">
      <x:c r="A67" s="50"/>
      <x:c r="B67" s="20"/>
      <x:c r="C67" s="20"/>
      <x:c r="D67" s="20"/>
      <x:c r="E67" s="52"/>
      <x:c r="F67" s="20"/>
      <x:c r="G67" s="20"/>
      <x:c r="H67" s="20"/>
      <x:c r="I67" s="20"/>
      <x:c r="J67" s="20"/>
    </x:row>
    <x:row r="68">
      <x:c r="A68" s="50"/>
      <x:c r="B68" s="20"/>
      <x:c r="C68" s="20"/>
      <x:c r="D68" s="20"/>
      <x:c r="E68" s="52"/>
      <x:c r="F68" s="20"/>
      <x:c r="G68" s="20"/>
      <x:c r="H68" s="20"/>
      <x:c r="I68" s="20"/>
      <x:c r="J68" s="20"/>
    </x:row>
    <x:row r="69">
      <x:c r="A69" s="50"/>
      <x:c r="B69" s="20"/>
      <x:c r="C69" s="20"/>
      <x:c r="D69" s="20"/>
      <x:c r="E69" s="52"/>
      <x:c r="F69" s="20"/>
      <x:c r="G69" s="20"/>
      <x:c r="H69" s="20"/>
      <x:c r="I69" s="20"/>
      <x:c r="J69" s="20"/>
    </x:row>
    <x:row r="70">
      <x:c r="A70" s="50"/>
      <x:c r="B70" s="20"/>
      <x:c r="C70" s="20"/>
      <x:c r="D70" s="20"/>
      <x:c r="E70" s="52"/>
      <x:c r="F70" s="20"/>
      <x:c r="G70" s="20"/>
      <x:c r="H70" s="20"/>
      <x:c r="I70" s="20"/>
      <x:c r="J70" s="20"/>
    </x:row>
    <x:row r="71">
      <x:c r="A71" s="50"/>
      <x:c r="B71" s="20"/>
      <x:c r="C71" s="20"/>
      <x:c r="D71" s="20"/>
      <x:c r="E71" s="52"/>
      <x:c r="F71" s="20"/>
      <x:c r="G71" s="20"/>
      <x:c r="H71" s="20"/>
      <x:c r="I71" s="20"/>
      <x:c r="J71" s="20"/>
    </x:row>
    <x:row r="72">
      <x:c r="A72" s="50"/>
      <x:c r="B72" s="20"/>
      <x:c r="C72" s="20"/>
      <x:c r="D72" s="20"/>
      <x:c r="E72" s="52"/>
      <x:c r="F72" s="20"/>
      <x:c r="G72" s="20"/>
      <x:c r="H72" s="20"/>
      <x:c r="I72" s="20"/>
      <x:c r="J72" s="20"/>
    </x:row>
    <x:row r="73">
      <x:c r="A73" s="50"/>
      <x:c r="B73" s="20"/>
      <x:c r="C73" s="20"/>
      <x:c r="D73" s="20"/>
      <x:c r="E73" s="52"/>
      <x:c r="F73" s="20"/>
      <x:c r="G73" s="20"/>
      <x:c r="H73" s="20"/>
      <x:c r="I73" s="20"/>
      <x:c r="J73" s="20"/>
    </x:row>
    <x:row r="74">
      <x:c r="A74" s="50"/>
      <x:c r="B74" s="20"/>
      <x:c r="C74" s="20"/>
      <x:c r="D74" s="20"/>
      <x:c r="E74" s="52"/>
      <x:c r="F74" s="20"/>
      <x:c r="G74" s="20"/>
      <x:c r="H74" s="20"/>
      <x:c r="I74" s="20"/>
      <x:c r="J74" s="20"/>
    </x:row>
    <x:row r="75">
      <x:c r="A75" s="50"/>
      <x:c r="B75" s="20"/>
      <x:c r="C75" s="20"/>
      <x:c r="D75" s="20"/>
      <x:c r="E75" s="52"/>
      <x:c r="F75" s="20"/>
      <x:c r="G75" s="20"/>
      <x:c r="H75" s="20"/>
      <x:c r="I75" s="20"/>
      <x:c r="J75" s="20"/>
    </x:row>
    <x:row r="76">
      <x:c r="A76" s="50"/>
      <x:c r="B76" s="20"/>
      <x:c r="C76" s="20"/>
      <x:c r="D76" s="20"/>
      <x:c r="E76" s="52"/>
      <x:c r="F76" s="20"/>
      <x:c r="G76" s="20"/>
      <x:c r="H76" s="20"/>
      <x:c r="I76" s="20"/>
      <x:c r="J76" s="20"/>
    </x:row>
    <x:row r="77">
      <x:c r="A77" s="50"/>
      <x:c r="B77" s="20"/>
      <x:c r="C77" s="20"/>
      <x:c r="D77" s="20"/>
      <x:c r="E77" s="52"/>
      <x:c r="F77" s="20"/>
      <x:c r="G77" s="20"/>
      <x:c r="H77" s="20"/>
      <x:c r="I77" s="20"/>
      <x:c r="J77" s="20"/>
    </x:row>
    <x:row r="78">
      <x:c r="A78" s="50"/>
      <x:c r="B78" s="20"/>
      <x:c r="C78" s="20"/>
      <x:c r="D78" s="20"/>
      <x:c r="E78" s="52"/>
      <x:c r="F78" s="20"/>
      <x:c r="G78" s="20"/>
      <x:c r="H78" s="20"/>
      <x:c r="I78" s="20"/>
      <x:c r="J78" s="20"/>
    </x:row>
    <x:row r="79">
      <x:c r="A79" s="50"/>
      <x:c r="B79" s="20"/>
      <x:c r="C79" s="20"/>
      <x:c r="D79" s="20"/>
      <x:c r="E79" s="52"/>
      <x:c r="F79" s="20"/>
      <x:c r="G79" s="20"/>
      <x:c r="H79" s="20"/>
      <x:c r="I79" s="20"/>
      <x:c r="J79" s="20"/>
    </x:row>
    <x:row r="80">
      <x:c r="A80" s="50"/>
      <x:c r="B80" s="20"/>
      <x:c r="C80" s="20"/>
      <x:c r="D80" s="20"/>
      <x:c r="E80" s="52"/>
      <x:c r="F80" s="20"/>
      <x:c r="G80" s="20"/>
      <x:c r="H80" s="20"/>
      <x:c r="I80" s="20"/>
      <x:c r="J80" s="20"/>
    </x:row>
    <x:row r="81">
      <x:c r="A81" s="50"/>
      <x:c r="B81" s="20"/>
      <x:c r="C81" s="20"/>
      <x:c r="D81" s="20"/>
      <x:c r="E81" s="52"/>
      <x:c r="F81" s="20"/>
      <x:c r="G81" s="20"/>
      <x:c r="H81" s="20"/>
      <x:c r="I81" s="20"/>
      <x:c r="J81" s="20"/>
    </x:row>
    <x:row r="82">
      <x:c r="A82" s="50"/>
      <x:c r="B82" s="20"/>
      <x:c r="C82" s="20"/>
      <x:c r="D82" s="20"/>
      <x:c r="E82" s="52"/>
      <x:c r="F82" s="20"/>
      <x:c r="G82" s="20"/>
      <x:c r="H82" s="20"/>
      <x:c r="I82" s="20"/>
      <x:c r="J82" s="20"/>
    </x:row>
    <x:row r="83">
      <x:c r="A83" s="50"/>
      <x:c r="B83" s="20"/>
      <x:c r="C83" s="20"/>
      <x:c r="D83" s="20"/>
      <x:c r="E83" s="52"/>
      <x:c r="F83" s="20"/>
      <x:c r="G83" s="20"/>
      <x:c r="H83" s="20"/>
      <x:c r="I83" s="20"/>
      <x:c r="J83" s="20"/>
    </x:row>
    <x:row r="84">
      <x:c r="A84" s="50"/>
      <x:c r="B84" s="20"/>
      <x:c r="C84" s="20"/>
      <x:c r="D84" s="20"/>
      <x:c r="E84" s="52"/>
      <x:c r="F84" s="20"/>
      <x:c r="G84" s="20"/>
      <x:c r="H84" s="20"/>
      <x:c r="I84" s="20"/>
      <x:c r="J84" s="20"/>
    </x:row>
    <x:row r="85">
      <x:c r="A85" s="50"/>
      <x:c r="B85" s="20"/>
      <x:c r="C85" s="20"/>
      <x:c r="D85" s="20"/>
      <x:c r="E85" s="52"/>
      <x:c r="F85" s="20"/>
      <x:c r="G85" s="20"/>
      <x:c r="H85" s="20"/>
      <x:c r="I85" s="20"/>
      <x:c r="J85" s="20"/>
    </x:row>
    <x:row r="86">
      <x:c r="A86" s="50"/>
      <x:c r="B86" s="20"/>
      <x:c r="C86" s="20"/>
      <x:c r="D86" s="20"/>
      <x:c r="E86" s="52"/>
      <x:c r="F86" s="20"/>
      <x:c r="G86" s="20"/>
      <x:c r="H86" s="20"/>
      <x:c r="I86" s="20"/>
      <x:c r="J86" s="20"/>
    </x:row>
    <x:row r="87">
      <x:c r="A87" s="50"/>
      <x:c r="B87" s="20"/>
      <x:c r="C87" s="20"/>
      <x:c r="D87" s="20"/>
      <x:c r="E87" s="52"/>
      <x:c r="F87" s="20"/>
      <x:c r="G87" s="20"/>
      <x:c r="H87" s="20"/>
      <x:c r="I87" s="20"/>
      <x:c r="J87" s="20"/>
    </x:row>
    <x:row r="88">
      <x:c r="A88" s="50"/>
      <x:c r="B88" s="20"/>
      <x:c r="C88" s="20"/>
      <x:c r="D88" s="20"/>
      <x:c r="E88" s="52"/>
      <x:c r="F88" s="20"/>
      <x:c r="G88" s="20"/>
      <x:c r="H88" s="20"/>
      <x:c r="I88" s="20"/>
      <x:c r="J88" s="20"/>
    </x:row>
    <x:row r="89">
      <x:c r="A89" s="50"/>
      <x:c r="B89" s="20"/>
      <x:c r="C89" s="20"/>
      <x:c r="D89" s="20"/>
      <x:c r="E89" s="52"/>
      <x:c r="F89" s="20"/>
      <x:c r="G89" s="20"/>
      <x:c r="H89" s="20"/>
      <x:c r="I89" s="20"/>
      <x:c r="J89" s="20"/>
    </x:row>
    <x:row r="90">
      <x:c r="A90" s="50"/>
      <x:c r="B90" s="20"/>
      <x:c r="C90" s="20"/>
      <x:c r="D90" s="20"/>
      <x:c r="E90" s="52"/>
      <x:c r="F90" s="20"/>
      <x:c r="G90" s="20"/>
      <x:c r="H90" s="20"/>
      <x:c r="I90" s="20"/>
      <x:c r="J90" s="20"/>
    </x:row>
    <x:row r="91">
      <x:c r="A91" s="50"/>
      <x:c r="B91" s="20"/>
      <x:c r="C91" s="20"/>
      <x:c r="D91" s="20"/>
      <x:c r="E91" s="52"/>
      <x:c r="F91" s="20"/>
      <x:c r="G91" s="20"/>
      <x:c r="H91" s="20"/>
      <x:c r="I91" s="20"/>
      <x:c r="J91" s="20"/>
    </x:row>
    <x:row r="92">
      <x:c r="A92" s="50"/>
      <x:c r="B92" s="20"/>
      <x:c r="C92" s="20"/>
      <x:c r="D92" s="20"/>
      <x:c r="E92" s="52"/>
      <x:c r="F92" s="20"/>
      <x:c r="G92" s="20"/>
      <x:c r="H92" s="20"/>
      <x:c r="I92" s="20"/>
      <x:c r="J92" s="20"/>
    </x:row>
    <x:row r="93">
      <x:c r="A93" s="50"/>
      <x:c r="B93" s="20"/>
      <x:c r="C93" s="20"/>
      <x:c r="D93" s="20"/>
      <x:c r="E93" s="52"/>
      <x:c r="F93" s="20"/>
      <x:c r="G93" s="20"/>
      <x:c r="H93" s="20"/>
      <x:c r="I93" s="20"/>
      <x:c r="J93" s="20"/>
    </x:row>
    <x:row r="94">
      <x:c r="A94" s="50"/>
      <x:c r="B94" s="20"/>
      <x:c r="C94" s="20"/>
      <x:c r="D94" s="20"/>
      <x:c r="E94" s="52"/>
      <x:c r="F94" s="20"/>
      <x:c r="G94" s="20"/>
      <x:c r="H94" s="20"/>
      <x:c r="I94" s="20"/>
      <x:c r="J94" s="20"/>
    </x:row>
    <x:row r="95">
      <x:c r="A95" s="50"/>
      <x:c r="B95" s="20"/>
      <x:c r="C95" s="20"/>
      <x:c r="D95" s="20"/>
      <x:c r="E95" s="52"/>
      <x:c r="F95" s="20"/>
      <x:c r="G95" s="20"/>
      <x:c r="H95" s="20"/>
      <x:c r="I95" s="20"/>
      <x:c r="J95" s="20"/>
    </x:row>
    <x:row r="96">
      <x:c r="A96" s="50"/>
      <x:c r="B96" s="20"/>
      <x:c r="C96" s="20"/>
      <x:c r="D96" s="20"/>
      <x:c r="E96" s="52"/>
      <x:c r="F96" s="20"/>
      <x:c r="G96" s="20"/>
      <x:c r="H96" s="20"/>
      <x:c r="I96" s="20"/>
      <x:c r="J96" s="20"/>
    </x:row>
    <x:row r="97">
      <x:c r="A97" s="50"/>
      <x:c r="B97" s="20"/>
      <x:c r="C97" s="20"/>
      <x:c r="D97" s="20"/>
      <x:c r="E97" s="52"/>
      <x:c r="F97" s="20"/>
      <x:c r="G97" s="20"/>
      <x:c r="H97" s="20"/>
      <x:c r="I97" s="20"/>
      <x:c r="J97" s="20"/>
    </x:row>
    <x:row r="98">
      <x:c r="A98" s="50"/>
      <x:c r="B98" s="20"/>
      <x:c r="C98" s="20"/>
      <x:c r="D98" s="20"/>
      <x:c r="E98" s="52"/>
      <x:c r="F98" s="20"/>
      <x:c r="G98" s="20"/>
      <x:c r="H98" s="20"/>
      <x:c r="I98" s="20"/>
      <x:c r="J98" s="20"/>
    </x:row>
    <x:row r="99">
      <x:c r="A99" s="50"/>
      <x:c r="B99" s="20"/>
      <x:c r="C99" s="20"/>
      <x:c r="D99" s="20"/>
      <x:c r="E99" s="52"/>
      <x:c r="F99" s="20"/>
      <x:c r="G99" s="20"/>
      <x:c r="H99" s="20"/>
      <x:c r="I99" s="20"/>
      <x:c r="J99" s="20"/>
    </x:row>
    <x:row r="100">
      <x:c r="A100" s="50"/>
      <x:c r="B100" s="20"/>
      <x:c r="C100" s="20"/>
      <x:c r="D100" s="20"/>
      <x:c r="E100" s="52"/>
      <x:c r="F100" s="20"/>
      <x:c r="G100" s="20"/>
      <x:c r="H100" s="20"/>
      <x:c r="I100" s="20"/>
      <x:c r="J100" s="20"/>
    </x:row>
    <x:row r="101">
      <x:c r="A101" s="50"/>
      <x:c r="B101" s="20"/>
      <x:c r="C101" s="20"/>
      <x:c r="D101" s="20"/>
      <x:c r="E101" s="52"/>
      <x:c r="F101" s="20"/>
      <x:c r="G101" s="20"/>
      <x:c r="H101" s="20"/>
      <x:c r="I101" s="20"/>
      <x:c r="J101" s="20"/>
    </x:row>
    <x:row r="102">
      <x:c r="A102" s="50"/>
      <x:c r="B102" s="20"/>
      <x:c r="C102" s="20"/>
      <x:c r="D102" s="20"/>
      <x:c r="E102" s="52"/>
      <x:c r="F102" s="20"/>
      <x:c r="G102" s="20"/>
      <x:c r="H102" s="20"/>
      <x:c r="I102" s="20"/>
      <x:c r="J102" s="20"/>
    </x:row>
    <x:row r="103">
      <x:c r="A103" s="50"/>
      <x:c r="B103" s="20"/>
      <x:c r="C103" s="20"/>
      <x:c r="D103" s="20"/>
      <x:c r="E103" s="52"/>
      <x:c r="F103" s="20"/>
      <x:c r="G103" s="20"/>
      <x:c r="H103" s="20"/>
      <x:c r="I103" s="20"/>
      <x:c r="J103" s="20"/>
    </x:row>
    <x:row r="104">
      <x:c r="A104" s="50"/>
      <x:c r="B104" s="20"/>
      <x:c r="C104" s="20"/>
      <x:c r="D104" s="20"/>
      <x:c r="E104" s="52"/>
      <x:c r="F104" s="20"/>
      <x:c r="G104" s="20"/>
      <x:c r="H104" s="20"/>
      <x:c r="I104" s="20"/>
      <x:c r="J104" s="20"/>
    </x:row>
    <x:row r="105">
      <x:c r="A105" s="50"/>
      <x:c r="B105" s="20"/>
      <x:c r="C105" s="20"/>
      <x:c r="D105" s="20"/>
      <x:c r="E105" s="52"/>
      <x:c r="F105" s="20"/>
      <x:c r="G105" s="20"/>
      <x:c r="H105" s="20"/>
      <x:c r="I105" s="20"/>
      <x:c r="J105" s="20"/>
    </x:row>
    <x:row r="106">
      <x:c r="A106" s="50"/>
      <x:c r="B106" s="20"/>
      <x:c r="C106" s="20"/>
      <x:c r="D106" s="20"/>
      <x:c r="E106" s="52"/>
      <x:c r="F106" s="20"/>
      <x:c r="G106" s="20"/>
      <x:c r="H106" s="20"/>
      <x:c r="I106" s="20"/>
      <x:c r="J106" s="20"/>
    </x:row>
    <x:row r="107">
      <x:c r="A107" s="50"/>
      <x:c r="B107" s="20"/>
      <x:c r="C107" s="20"/>
      <x:c r="D107" s="20"/>
      <x:c r="E107" s="52"/>
      <x:c r="F107" s="20"/>
      <x:c r="G107" s="20"/>
      <x:c r="H107" s="20"/>
      <x:c r="I107" s="20"/>
      <x:c r="J107" s="20"/>
    </x:row>
    <x:row r="108">
      <x:c r="A108" s="50"/>
      <x:c r="B108" s="20"/>
      <x:c r="C108" s="20"/>
      <x:c r="D108" s="20"/>
      <x:c r="E108" s="52"/>
      <x:c r="F108" s="20"/>
      <x:c r="G108" s="20"/>
      <x:c r="H108" s="20"/>
      <x:c r="I108" s="20"/>
      <x:c r="J108" s="20"/>
    </x:row>
    <x:row r="109">
      <x:c r="A109" s="50"/>
      <x:c r="B109" s="20"/>
      <x:c r="C109" s="20"/>
      <x:c r="D109" s="20"/>
      <x:c r="E109" s="52"/>
      <x:c r="F109" s="20"/>
      <x:c r="G109" s="20"/>
      <x:c r="H109" s="20"/>
      <x:c r="I109" s="20"/>
      <x:c r="J109" s="20"/>
    </x:row>
    <x:row r="110">
      <x:c r="A110" s="50"/>
      <x:c r="B110" s="20"/>
      <x:c r="C110" s="20"/>
      <x:c r="D110" s="20"/>
      <x:c r="E110" s="52"/>
      <x:c r="F110" s="20"/>
      <x:c r="G110" s="20"/>
      <x:c r="H110" s="20"/>
      <x:c r="I110" s="20"/>
      <x:c r="J110" s="20"/>
    </x:row>
    <x:row r="111">
      <x:c r="A111" s="50"/>
      <x:c r="B111" s="20"/>
      <x:c r="C111" s="20"/>
      <x:c r="D111" s="20"/>
      <x:c r="E111" s="52"/>
      <x:c r="F111" s="20"/>
      <x:c r="G111" s="20"/>
      <x:c r="H111" s="20"/>
      <x:c r="I111" s="20"/>
      <x:c r="J111" s="20"/>
    </x:row>
    <x:row r="112">
      <x:c r="A112" s="50"/>
      <x:c r="B112" s="20"/>
      <x:c r="C112" s="20"/>
      <x:c r="D112" s="20"/>
      <x:c r="E112" s="52"/>
      <x:c r="F112" s="20"/>
      <x:c r="G112" s="20"/>
      <x:c r="H112" s="20"/>
      <x:c r="I112" s="20"/>
      <x:c r="J112" s="20"/>
    </x:row>
    <x:row r="113">
      <x:c r="A113" s="50"/>
      <x:c r="B113" s="20"/>
      <x:c r="C113" s="20"/>
      <x:c r="D113" s="20"/>
      <x:c r="E113" s="52"/>
      <x:c r="F113" s="20"/>
      <x:c r="G113" s="20"/>
      <x:c r="H113" s="20"/>
      <x:c r="I113" s="20"/>
      <x:c r="J113" s="20"/>
    </x:row>
    <x:row r="114">
      <x:c r="A114" s="50"/>
      <x:c r="B114" s="20"/>
      <x:c r="C114" s="20"/>
      <x:c r="D114" s="20"/>
      <x:c r="E114" s="52"/>
      <x:c r="F114" s="20"/>
      <x:c r="G114" s="20"/>
      <x:c r="H114" s="20"/>
      <x:c r="I114" s="20"/>
      <x:c r="J114" s="20"/>
    </x:row>
    <x:row r="115">
      <x:c r="A115" s="50"/>
      <x:c r="B115" s="20"/>
      <x:c r="C115" s="20"/>
      <x:c r="D115" s="20"/>
      <x:c r="E115" s="52"/>
      <x:c r="F115" s="20"/>
      <x:c r="G115" s="20"/>
      <x:c r="H115" s="20"/>
      <x:c r="I115" s="20"/>
      <x:c r="J115" s="20"/>
    </x:row>
    <x:row r="116">
      <x:c r="A116" s="50"/>
      <x:c r="B116" s="20"/>
      <x:c r="C116" s="20"/>
      <x:c r="D116" s="20"/>
      <x:c r="E116" s="52"/>
      <x:c r="F116" s="20"/>
      <x:c r="G116" s="20"/>
      <x:c r="H116" s="20"/>
      <x:c r="I116" s="20"/>
      <x:c r="J116" s="20"/>
    </x:row>
    <x:row r="117">
      <x:c r="A117" s="50"/>
      <x:c r="B117" s="20"/>
      <x:c r="C117" s="20"/>
      <x:c r="D117" s="20"/>
      <x:c r="E117" s="52"/>
      <x:c r="F117" s="20"/>
      <x:c r="G117" s="20"/>
      <x:c r="H117" s="20"/>
      <x:c r="I117" s="20"/>
      <x:c r="J117" s="20"/>
    </x:row>
    <x:row r="118">
      <x:c r="A118" s="50"/>
      <x:c r="B118" s="20"/>
      <x:c r="C118" s="20"/>
      <x:c r="D118" s="20"/>
      <x:c r="E118" s="52"/>
      <x:c r="F118" s="20"/>
      <x:c r="G118" s="20"/>
      <x:c r="H118" s="20"/>
      <x:c r="I118" s="20"/>
      <x:c r="J118" s="20"/>
    </x:row>
    <x:row r="119">
      <x:c r="A119" s="50"/>
      <x:c r="B119" s="20"/>
      <x:c r="C119" s="20"/>
      <x:c r="D119" s="20"/>
      <x:c r="E119" s="52"/>
      <x:c r="F119" s="20"/>
      <x:c r="G119" s="20"/>
      <x:c r="H119" s="20"/>
      <x:c r="I119" s="20"/>
      <x:c r="J119" s="20"/>
    </x:row>
    <x:row r="120">
      <x:c r="A120" s="50"/>
      <x:c r="B120" s="20"/>
      <x:c r="C120" s="20"/>
      <x:c r="D120" s="20"/>
      <x:c r="E120" s="52"/>
      <x:c r="F120" s="20"/>
      <x:c r="G120" s="20"/>
      <x:c r="H120" s="20"/>
      <x:c r="I120" s="20"/>
      <x:c r="J120" s="20"/>
    </x:row>
    <x:row r="121">
      <x:c r="A121" s="50"/>
      <x:c r="B121" s="20"/>
      <x:c r="C121" s="20"/>
      <x:c r="D121" s="20"/>
      <x:c r="E121" s="52"/>
      <x:c r="F121" s="20"/>
      <x:c r="G121" s="20"/>
      <x:c r="H121" s="20"/>
      <x:c r="I121" s="20"/>
      <x:c r="J121" s="20"/>
    </x:row>
    <x:row r="122">
      <x:c r="A122" s="50"/>
      <x:c r="B122" s="20"/>
      <x:c r="C122" s="20"/>
      <x:c r="D122" s="20"/>
      <x:c r="E122" s="52"/>
      <x:c r="F122" s="20"/>
      <x:c r="G122" s="20"/>
      <x:c r="H122" s="20"/>
      <x:c r="I122" s="20"/>
      <x:c r="J122" s="20"/>
    </x:row>
    <x:row r="123">
      <x:c r="A123" s="50"/>
      <x:c r="B123" s="20"/>
      <x:c r="C123" s="20"/>
      <x:c r="D123" s="20"/>
      <x:c r="E123" s="52"/>
      <x:c r="F123" s="20"/>
      <x:c r="G123" s="20"/>
      <x:c r="H123" s="20"/>
      <x:c r="I123" s="20"/>
      <x:c r="J123" s="20"/>
    </x:row>
    <x:row r="124">
      <x:c r="A124" s="50"/>
      <x:c r="B124" s="20"/>
      <x:c r="C124" s="20"/>
      <x:c r="D124" s="20"/>
      <x:c r="E124" s="52"/>
      <x:c r="F124" s="20"/>
      <x:c r="G124" s="20"/>
      <x:c r="H124" s="20"/>
      <x:c r="I124" s="20"/>
      <x:c r="J124" s="20"/>
    </x:row>
    <x:row r="125">
      <x:c r="A125" s="50"/>
      <x:c r="B125" s="20"/>
      <x:c r="C125" s="20"/>
      <x:c r="D125" s="20"/>
      <x:c r="E125" s="52"/>
      <x:c r="F125" s="20"/>
      <x:c r="G125" s="20"/>
      <x:c r="H125" s="20"/>
      <x:c r="I125" s="20"/>
      <x:c r="J125" s="20"/>
    </x:row>
    <x:row r="126">
      <x:c r="A126" s="50"/>
      <x:c r="B126" s="20"/>
      <x:c r="C126" s="20"/>
      <x:c r="D126" s="20"/>
      <x:c r="E126" s="52"/>
      <x:c r="F126" s="20"/>
      <x:c r="G126" s="20"/>
      <x:c r="H126" s="20"/>
      <x:c r="I126" s="20"/>
      <x:c r="J126" s="20"/>
    </x:row>
    <x:row r="127">
      <x:c r="A127" s="50"/>
      <x:c r="B127" s="20"/>
      <x:c r="C127" s="20"/>
      <x:c r="D127" s="20"/>
      <x:c r="E127" s="52"/>
      <x:c r="F127" s="20"/>
      <x:c r="G127" s="20"/>
      <x:c r="H127" s="20"/>
      <x:c r="I127" s="20"/>
      <x:c r="J127" s="20"/>
    </x:row>
    <x:row r="128">
      <x:c r="A128" s="50"/>
      <x:c r="B128" s="20"/>
      <x:c r="C128" s="20"/>
      <x:c r="D128" s="20"/>
      <x:c r="E128" s="52"/>
      <x:c r="F128" s="20"/>
      <x:c r="G128" s="20"/>
      <x:c r="H128" s="20"/>
      <x:c r="I128" s="20"/>
      <x:c r="J128" s="20"/>
    </x:row>
    <x:row r="129">
      <x:c r="A129" s="50"/>
      <x:c r="B129" s="20"/>
      <x:c r="C129" s="20"/>
      <x:c r="D129" s="20"/>
      <x:c r="E129" s="52"/>
      <x:c r="F129" s="20"/>
      <x:c r="G129" s="20"/>
      <x:c r="H129" s="20"/>
      <x:c r="I129" s="20"/>
      <x:c r="J129" s="20"/>
    </x:row>
    <x:row r="130">
      <x:c r="A130" s="50"/>
      <x:c r="B130" s="20"/>
      <x:c r="C130" s="20"/>
      <x:c r="D130" s="20"/>
      <x:c r="E130" s="52"/>
      <x:c r="F130" s="20"/>
      <x:c r="G130" s="20"/>
      <x:c r="H130" s="20"/>
      <x:c r="I130" s="20"/>
      <x:c r="J130" s="20"/>
    </x:row>
    <x:row r="131">
      <x:c r="A131" s="50"/>
      <x:c r="B131" s="20"/>
      <x:c r="C131" s="20"/>
      <x:c r="D131" s="20"/>
      <x:c r="E131" s="52"/>
      <x:c r="F131" s="20"/>
      <x:c r="G131" s="20"/>
      <x:c r="H131" s="20"/>
      <x:c r="I131" s="20"/>
      <x:c r="J131" s="20"/>
    </x:row>
    <x:row r="132">
      <x:c r="A132" s="50"/>
      <x:c r="B132" s="20"/>
      <x:c r="C132" s="20"/>
      <x:c r="D132" s="20"/>
      <x:c r="E132" s="52"/>
      <x:c r="F132" s="20"/>
      <x:c r="G132" s="20"/>
      <x:c r="H132" s="20"/>
      <x:c r="I132" s="20"/>
      <x:c r="J132" s="20"/>
    </x:row>
    <x:row r="133">
      <x:c r="A133" s="50"/>
      <x:c r="B133" s="20"/>
      <x:c r="C133" s="20"/>
      <x:c r="D133" s="20"/>
      <x:c r="E133" s="52"/>
      <x:c r="F133" s="20"/>
      <x:c r="G133" s="20"/>
      <x:c r="H133" s="20"/>
      <x:c r="I133" s="20"/>
      <x:c r="J133" s="20"/>
    </x:row>
    <x:row r="134">
      <x:c r="A134" s="50"/>
      <x:c r="B134" s="20"/>
      <x:c r="C134" s="20"/>
      <x:c r="D134" s="20"/>
      <x:c r="E134" s="52"/>
      <x:c r="F134" s="20"/>
      <x:c r="G134" s="20"/>
      <x:c r="H134" s="20"/>
      <x:c r="I134" s="20"/>
      <x:c r="J134" s="20"/>
    </x:row>
    <x:row r="135">
      <x:c r="A135" s="50"/>
      <x:c r="B135" s="20"/>
      <x:c r="C135" s="20"/>
      <x:c r="D135" s="20"/>
      <x:c r="E135" s="52"/>
      <x:c r="F135" s="20"/>
      <x:c r="G135" s="20"/>
      <x:c r="H135" s="20"/>
      <x:c r="I135" s="20"/>
      <x:c r="J135" s="20"/>
    </x:row>
    <x:row r="136">
      <x:c r="A136" s="50"/>
      <x:c r="B136" s="20"/>
      <x:c r="C136" s="20"/>
      <x:c r="D136" s="20"/>
      <x:c r="E136" s="52"/>
      <x:c r="F136" s="20"/>
      <x:c r="G136" s="20"/>
      <x:c r="H136" s="20"/>
      <x:c r="I136" s="20"/>
      <x:c r="J136" s="20"/>
    </x:row>
    <x:row r="137">
      <x:c r="A137" s="50"/>
      <x:c r="B137" s="20"/>
      <x:c r="C137" s="20"/>
      <x:c r="D137" s="20"/>
      <x:c r="E137" s="52"/>
      <x:c r="F137" s="20"/>
      <x:c r="G137" s="20"/>
      <x:c r="H137" s="20"/>
      <x:c r="I137" s="20"/>
      <x:c r="J137" s="20"/>
    </x:row>
    <x:row r="138">
      <x:c r="A138" s="50"/>
      <x:c r="B138" s="20"/>
      <x:c r="C138" s="20"/>
      <x:c r="D138" s="20"/>
      <x:c r="E138" s="52"/>
      <x:c r="F138" s="20"/>
      <x:c r="G138" s="20"/>
      <x:c r="H138" s="20"/>
      <x:c r="I138" s="20"/>
      <x:c r="J138" s="20"/>
    </x:row>
    <x:row r="139">
      <x:c r="A139" s="50"/>
      <x:c r="B139" s="20"/>
      <x:c r="C139" s="20"/>
      <x:c r="D139" s="20"/>
      <x:c r="E139" s="52"/>
      <x:c r="F139" s="20"/>
      <x:c r="G139" s="20"/>
      <x:c r="H139" s="20"/>
      <x:c r="I139" s="20"/>
      <x:c r="J139" s="20"/>
    </x:row>
    <x:row r="140">
      <x:c r="A140" s="50"/>
      <x:c r="B140" s="20"/>
      <x:c r="C140" s="20"/>
      <x:c r="D140" s="20"/>
      <x:c r="E140" s="52"/>
      <x:c r="F140" s="20"/>
      <x:c r="G140" s="20"/>
      <x:c r="H140" s="20"/>
      <x:c r="I140" s="20"/>
      <x:c r="J140" s="20"/>
    </x:row>
    <x:row r="141">
      <x:c r="A141" s="50"/>
      <x:c r="B141" s="20"/>
      <x:c r="C141" s="20"/>
      <x:c r="D141" s="20"/>
      <x:c r="E141" s="52"/>
      <x:c r="F141" s="20"/>
      <x:c r="G141" s="20"/>
      <x:c r="H141" s="20"/>
      <x:c r="I141" s="20"/>
      <x:c r="J141" s="20"/>
    </x:row>
    <x:row r="142">
      <x:c r="A142" s="50"/>
      <x:c r="B142" s="20"/>
      <x:c r="C142" s="20"/>
      <x:c r="D142" s="20"/>
      <x:c r="E142" s="52"/>
      <x:c r="F142" s="20"/>
      <x:c r="G142" s="20"/>
      <x:c r="H142" s="20"/>
      <x:c r="I142" s="20"/>
      <x:c r="J142" s="20"/>
    </x:row>
    <x:row r="143">
      <x:c r="A143" s="50"/>
      <x:c r="B143" s="20"/>
      <x:c r="C143" s="20"/>
      <x:c r="D143" s="20"/>
      <x:c r="E143" s="52"/>
      <x:c r="F143" s="20"/>
      <x:c r="G143" s="20"/>
      <x:c r="H143" s="20"/>
      <x:c r="I143" s="20"/>
      <x:c r="J143" s="20"/>
    </x:row>
    <x:row r="144">
      <x:c r="A144" s="50"/>
      <x:c r="B144" s="20"/>
      <x:c r="C144" s="20"/>
      <x:c r="D144" s="20"/>
      <x:c r="E144" s="52"/>
      <x:c r="F144" s="20"/>
      <x:c r="G144" s="20"/>
      <x:c r="H144" s="20"/>
      <x:c r="I144" s="20"/>
      <x:c r="J144" s="20"/>
    </x:row>
    <x:row r="145">
      <x:c r="A145" s="50"/>
      <x:c r="B145" s="20"/>
      <x:c r="C145" s="20"/>
      <x:c r="D145" s="20"/>
      <x:c r="E145" s="52"/>
      <x:c r="F145" s="20"/>
      <x:c r="G145" s="20"/>
      <x:c r="H145" s="20"/>
      <x:c r="I145" s="20"/>
      <x:c r="J145" s="20"/>
    </x:row>
    <x:row r="146">
      <x:c r="A146" s="50"/>
      <x:c r="B146" s="20"/>
      <x:c r="C146" s="20"/>
      <x:c r="D146" s="20"/>
      <x:c r="E146" s="52"/>
      <x:c r="F146" s="20"/>
      <x:c r="G146" s="20"/>
      <x:c r="H146" s="20"/>
      <x:c r="I146" s="20"/>
      <x:c r="J146" s="20"/>
    </x:row>
    <x:row r="147">
      <x:c r="A147" s="50"/>
      <x:c r="B147" s="20"/>
      <x:c r="C147" s="20"/>
      <x:c r="D147" s="20"/>
      <x:c r="E147" s="52"/>
      <x:c r="F147" s="20"/>
      <x:c r="G147" s="20"/>
      <x:c r="H147" s="20"/>
      <x:c r="I147" s="20"/>
      <x:c r="J147" s="20"/>
    </x:row>
    <x:row r="148">
      <x:c r="A148" s="50"/>
      <x:c r="B148" s="20"/>
      <x:c r="C148" s="20"/>
      <x:c r="D148" s="20"/>
      <x:c r="E148" s="52"/>
      <x:c r="F148" s="20"/>
      <x:c r="G148" s="20"/>
      <x:c r="H148" s="20"/>
      <x:c r="I148" s="20"/>
      <x:c r="J148" s="20"/>
    </x:row>
    <x:row r="149">
      <x:c r="A149" s="50"/>
      <x:c r="B149" s="20"/>
      <x:c r="C149" s="20"/>
      <x:c r="D149" s="20"/>
      <x:c r="E149" s="52"/>
      <x:c r="F149" s="20"/>
      <x:c r="G149" s="20"/>
      <x:c r="H149" s="20"/>
      <x:c r="I149" s="20"/>
      <x:c r="J149" s="20"/>
    </x:row>
    <x:row r="150">
      <x:c r="A150" s="50"/>
      <x:c r="B150" s="20"/>
      <x:c r="C150" s="20"/>
      <x:c r="D150" s="20"/>
      <x:c r="E150" s="52"/>
      <x:c r="F150" s="20"/>
      <x:c r="G150" s="20"/>
      <x:c r="H150" s="20"/>
      <x:c r="I150" s="20"/>
      <x:c r="J150" s="20"/>
    </x:row>
    <x:row r="151">
      <x:c r="A151" s="50"/>
      <x:c r="B151" s="20"/>
      <x:c r="C151" s="20"/>
      <x:c r="D151" s="20"/>
      <x:c r="E151" s="52"/>
      <x:c r="F151" s="20"/>
      <x:c r="G151" s="20"/>
      <x:c r="H151" s="20"/>
      <x:c r="I151" s="20"/>
      <x:c r="J151" s="20"/>
    </x:row>
    <x:row r="152">
      <x:c r="A152" s="50"/>
      <x:c r="B152" s="20"/>
      <x:c r="C152" s="20"/>
      <x:c r="D152" s="20"/>
      <x:c r="E152" s="52"/>
      <x:c r="F152" s="20"/>
      <x:c r="G152" s="20"/>
      <x:c r="H152" s="20"/>
      <x:c r="I152" s="20"/>
      <x:c r="J152" s="20"/>
    </x:row>
    <x:row r="153">
      <x:c r="A153" s="50"/>
      <x:c r="B153" s="20"/>
      <x:c r="C153" s="20"/>
      <x:c r="D153" s="20"/>
      <x:c r="E153" s="52"/>
      <x:c r="F153" s="20"/>
      <x:c r="G153" s="20"/>
      <x:c r="H153" s="20"/>
      <x:c r="I153" s="20"/>
      <x:c r="J153" s="20"/>
    </x:row>
    <x:row r="154">
      <x:c r="A154" s="50"/>
      <x:c r="B154" s="20"/>
      <x:c r="C154" s="20"/>
      <x:c r="D154" s="20"/>
      <x:c r="E154" s="52"/>
      <x:c r="F154" s="20"/>
      <x:c r="G154" s="20"/>
      <x:c r="H154" s="20"/>
      <x:c r="I154" s="20"/>
      <x:c r="J154" s="20"/>
    </x:row>
    <x:row r="155">
      <x:c r="A155" s="50"/>
      <x:c r="B155" s="20"/>
      <x:c r="C155" s="20"/>
      <x:c r="D155" s="20"/>
      <x:c r="E155" s="52"/>
      <x:c r="F155" s="20"/>
      <x:c r="G155" s="20"/>
      <x:c r="H155" s="20"/>
      <x:c r="I155" s="20"/>
      <x:c r="J155" s="20"/>
    </x:row>
    <x:row r="156">
      <x:c r="A156" s="50"/>
      <x:c r="B156" s="20"/>
      <x:c r="C156" s="20"/>
      <x:c r="D156" s="20"/>
      <x:c r="E156" s="52"/>
      <x:c r="F156" s="20"/>
      <x:c r="G156" s="20"/>
      <x:c r="H156" s="20"/>
      <x:c r="I156" s="20"/>
      <x:c r="J156" s="20"/>
    </x:row>
    <x:row r="157">
      <x:c r="A157" s="50"/>
      <x:c r="B157" s="20"/>
      <x:c r="C157" s="20"/>
      <x:c r="D157" s="20"/>
      <x:c r="E157" s="52"/>
      <x:c r="F157" s="20"/>
      <x:c r="G157" s="20"/>
      <x:c r="H157" s="20"/>
      <x:c r="I157" s="20"/>
      <x:c r="J157" s="20"/>
    </x:row>
    <x:row r="158">
      <x:c r="A158" s="50"/>
      <x:c r="B158" s="20"/>
      <x:c r="C158" s="20"/>
      <x:c r="D158" s="20"/>
      <x:c r="E158" s="52"/>
      <x:c r="F158" s="20"/>
      <x:c r="G158" s="20"/>
      <x:c r="H158" s="20"/>
      <x:c r="I158" s="20"/>
      <x:c r="J158" s="20"/>
    </x:row>
    <x:row r="159">
      <x:c r="A159" s="50"/>
      <x:c r="B159" s="20"/>
      <x:c r="C159" s="20"/>
      <x:c r="D159" s="20"/>
      <x:c r="E159" s="52"/>
      <x:c r="F159" s="20"/>
      <x:c r="G159" s="20"/>
      <x:c r="H159" s="20"/>
      <x:c r="I159" s="20"/>
      <x:c r="J159" s="20"/>
    </x:row>
    <x:row r="160">
      <x:c r="A160" s="50"/>
      <x:c r="B160" s="20"/>
      <x:c r="C160" s="20"/>
      <x:c r="D160" s="20"/>
      <x:c r="E160" s="52"/>
      <x:c r="F160" s="20"/>
      <x:c r="G160" s="20"/>
      <x:c r="H160" s="20"/>
      <x:c r="I160" s="20"/>
      <x:c r="J160" s="20"/>
    </x:row>
    <x:row r="161">
      <x:c r="A161" s="50"/>
      <x:c r="B161" s="20"/>
      <x:c r="C161" s="20"/>
      <x:c r="D161" s="20"/>
      <x:c r="E161" s="52"/>
      <x:c r="F161" s="20"/>
      <x:c r="G161" s="20"/>
      <x:c r="H161" s="20"/>
      <x:c r="I161" s="20"/>
      <x:c r="J161" s="20"/>
    </x:row>
    <x:row r="162">
      <x:c r="A162" s="50"/>
      <x:c r="B162" s="20"/>
      <x:c r="C162" s="20"/>
      <x:c r="D162" s="20"/>
      <x:c r="E162" s="52"/>
      <x:c r="F162" s="20"/>
      <x:c r="G162" s="20"/>
      <x:c r="H162" s="20"/>
      <x:c r="I162" s="20"/>
      <x:c r="J162" s="20"/>
    </x:row>
    <x:row r="163">
      <x:c r="A163" s="50"/>
      <x:c r="B163" s="20"/>
      <x:c r="C163" s="20"/>
      <x:c r="D163" s="20"/>
      <x:c r="E163" s="52"/>
      <x:c r="F163" s="20"/>
      <x:c r="G163" s="20"/>
      <x:c r="H163" s="20"/>
      <x:c r="I163" s="20"/>
      <x:c r="J163" s="20"/>
    </x:row>
    <x:row r="164">
      <x:c r="A164" s="50"/>
      <x:c r="B164" s="20"/>
      <x:c r="C164" s="20"/>
      <x:c r="D164" s="20"/>
      <x:c r="E164" s="52"/>
      <x:c r="F164" s="20"/>
      <x:c r="G164" s="20"/>
      <x:c r="H164" s="20"/>
      <x:c r="I164" s="20"/>
      <x:c r="J164" s="20"/>
    </x:row>
    <x:row r="165">
      <x:c r="A165" s="50"/>
      <x:c r="B165" s="20"/>
      <x:c r="C165" s="20"/>
      <x:c r="D165" s="20"/>
      <x:c r="E165" s="52"/>
      <x:c r="F165" s="20"/>
      <x:c r="G165" s="20"/>
      <x:c r="H165" s="20"/>
      <x:c r="I165" s="20"/>
      <x:c r="J165" s="20"/>
    </x:row>
    <x:row r="166">
      <x:c r="A166" s="50"/>
      <x:c r="B166" s="20"/>
      <x:c r="C166" s="20"/>
      <x:c r="D166" s="20"/>
      <x:c r="E166" s="52"/>
      <x:c r="F166" s="20"/>
      <x:c r="G166" s="20"/>
      <x:c r="H166" s="20"/>
      <x:c r="I166" s="20"/>
      <x:c r="J166" s="20"/>
    </x:row>
    <x:row r="167">
      <x:c r="A167" s="50"/>
      <x:c r="B167" s="20"/>
      <x:c r="C167" s="20"/>
      <x:c r="D167" s="20"/>
      <x:c r="E167" s="52"/>
      <x:c r="F167" s="20"/>
      <x:c r="G167" s="20"/>
      <x:c r="H167" s="20"/>
      <x:c r="I167" s="20"/>
      <x:c r="J167" s="20"/>
    </x:row>
    <x:row r="168">
      <x:c r="A168" s="50"/>
      <x:c r="B168" s="20"/>
      <x:c r="C168" s="20"/>
      <x:c r="D168" s="20"/>
      <x:c r="E168" s="52"/>
      <x:c r="F168" s="20"/>
      <x:c r="G168" s="20"/>
      <x:c r="H168" s="20"/>
      <x:c r="I168" s="20"/>
      <x:c r="J168" s="20"/>
    </x:row>
    <x:row r="169">
      <x:c r="A169" s="50"/>
      <x:c r="B169" s="20"/>
      <x:c r="C169" s="20"/>
      <x:c r="D169" s="20"/>
      <x:c r="E169" s="52"/>
      <x:c r="F169" s="20"/>
      <x:c r="G169" s="20"/>
      <x:c r="H169" s="20"/>
      <x:c r="I169" s="20"/>
      <x:c r="J169" s="20"/>
    </x:row>
    <x:row r="170">
      <x:c r="A170" s="50"/>
      <x:c r="B170" s="20"/>
      <x:c r="C170" s="20"/>
      <x:c r="D170" s="20"/>
      <x:c r="E170" s="52"/>
      <x:c r="F170" s="20"/>
      <x:c r="G170" s="20"/>
      <x:c r="H170" s="20"/>
      <x:c r="I170" s="20"/>
      <x:c r="J170" s="20"/>
    </x:row>
    <x:row r="171">
      <x:c r="A171" s="50"/>
      <x:c r="B171" s="20"/>
      <x:c r="C171" s="20"/>
      <x:c r="D171" s="20"/>
      <x:c r="E171" s="52"/>
      <x:c r="F171" s="20"/>
      <x:c r="G171" s="20"/>
      <x:c r="H171" s="20"/>
      <x:c r="I171" s="20"/>
      <x:c r="J171" s="20"/>
    </x:row>
    <x:row r="172">
      <x:c r="A172" s="50"/>
      <x:c r="B172" s="20"/>
      <x:c r="C172" s="20"/>
      <x:c r="D172" s="20"/>
      <x:c r="E172" s="52"/>
      <x:c r="F172" s="20"/>
      <x:c r="G172" s="20"/>
      <x:c r="H172" s="20"/>
      <x:c r="I172" s="20"/>
      <x:c r="J172" s="20"/>
    </x:row>
    <x:row r="173">
      <x:c r="A173" s="50"/>
      <x:c r="B173" s="20"/>
      <x:c r="C173" s="20"/>
      <x:c r="D173" s="20"/>
      <x:c r="E173" s="52"/>
      <x:c r="F173" s="20"/>
      <x:c r="G173" s="20"/>
      <x:c r="H173" s="20"/>
      <x:c r="I173" s="20"/>
      <x:c r="J173" s="20"/>
    </x:row>
    <x:row r="174">
      <x:c r="A174" s="50"/>
      <x:c r="B174" s="20"/>
      <x:c r="C174" s="20"/>
      <x:c r="D174" s="20"/>
      <x:c r="E174" s="52"/>
      <x:c r="F174" s="20"/>
      <x:c r="G174" s="20"/>
      <x:c r="H174" s="20"/>
      <x:c r="I174" s="20"/>
      <x:c r="J174" s="20"/>
    </x:row>
    <x:row r="175">
      <x:c r="A175" s="50"/>
      <x:c r="B175" s="20"/>
      <x:c r="C175" s="20"/>
      <x:c r="D175" s="20"/>
      <x:c r="E175" s="52"/>
      <x:c r="F175" s="20"/>
      <x:c r="G175" s="20"/>
      <x:c r="H175" s="20"/>
      <x:c r="I175" s="20"/>
      <x:c r="J175" s="20"/>
    </x:row>
    <x:row r="176">
      <x:c r="A176" s="50"/>
      <x:c r="B176" s="20"/>
      <x:c r="C176" s="20"/>
      <x:c r="D176" s="20"/>
      <x:c r="E176" s="52"/>
      <x:c r="F176" s="20"/>
      <x:c r="G176" s="20"/>
      <x:c r="H176" s="20"/>
      <x:c r="I176" s="20"/>
      <x:c r="J176" s="20"/>
    </x:row>
    <x:row r="177">
      <x:c r="A177" s="50"/>
      <x:c r="B177" s="20"/>
      <x:c r="C177" s="20"/>
      <x:c r="D177" s="20"/>
      <x:c r="E177" s="52"/>
      <x:c r="F177" s="20"/>
      <x:c r="G177" s="20"/>
      <x:c r="H177" s="20"/>
      <x:c r="I177" s="20"/>
      <x:c r="J177" s="20"/>
    </x:row>
    <x:row r="178">
      <x:c r="A178" s="50"/>
      <x:c r="B178" s="20"/>
      <x:c r="C178" s="20"/>
      <x:c r="D178" s="20"/>
      <x:c r="E178" s="52"/>
      <x:c r="F178" s="20"/>
      <x:c r="G178" s="20"/>
      <x:c r="H178" s="20"/>
      <x:c r="I178" s="20"/>
      <x:c r="J178" s="20"/>
    </x:row>
    <x:row r="179">
      <x:c r="A179" s="50"/>
      <x:c r="B179" s="20"/>
      <x:c r="C179" s="20"/>
      <x:c r="D179" s="20"/>
      <x:c r="E179" s="52"/>
      <x:c r="F179" s="20"/>
      <x:c r="G179" s="20"/>
      <x:c r="H179" s="20"/>
      <x:c r="I179" s="20"/>
      <x:c r="J179" s="20"/>
    </x:row>
    <x:row r="180">
      <x:c r="A180" s="50"/>
      <x:c r="B180" s="20"/>
      <x:c r="C180" s="20"/>
      <x:c r="D180" s="20"/>
      <x:c r="E180" s="52"/>
      <x:c r="F180" s="20"/>
      <x:c r="G180" s="20"/>
      <x:c r="H180" s="20"/>
      <x:c r="I180" s="20"/>
      <x:c r="J180" s="20"/>
    </x:row>
    <x:row r="181">
      <x:c r="A181" s="50"/>
      <x:c r="B181" s="20"/>
      <x:c r="C181" s="20"/>
      <x:c r="D181" s="20"/>
      <x:c r="E181" s="52"/>
      <x:c r="F181" s="20"/>
      <x:c r="G181" s="20"/>
      <x:c r="H181" s="20"/>
      <x:c r="I181" s="20"/>
      <x:c r="J181" s="20"/>
    </x:row>
    <x:row r="182">
      <x:c r="A182" s="50"/>
      <x:c r="B182" s="20"/>
      <x:c r="C182" s="20"/>
      <x:c r="D182" s="20"/>
      <x:c r="E182" s="52"/>
      <x:c r="F182" s="20"/>
      <x:c r="G182" s="20"/>
      <x:c r="H182" s="20"/>
      <x:c r="I182" s="20"/>
      <x:c r="J182" s="20"/>
    </x:row>
    <x:row r="183">
      <x:c r="A183" s="50"/>
      <x:c r="B183" s="20"/>
      <x:c r="C183" s="20"/>
      <x:c r="D183" s="20"/>
      <x:c r="E183" s="52"/>
      <x:c r="F183" s="20"/>
      <x:c r="G183" s="20"/>
      <x:c r="H183" s="20"/>
      <x:c r="I183" s="20"/>
      <x:c r="J183" s="20"/>
    </x:row>
    <x:row r="184">
      <x:c r="A184" s="50"/>
      <x:c r="B184" s="20"/>
      <x:c r="C184" s="20"/>
      <x:c r="D184" s="20"/>
      <x:c r="E184" s="52"/>
      <x:c r="F184" s="20"/>
      <x:c r="G184" s="20"/>
      <x:c r="H184" s="20"/>
      <x:c r="I184" s="20"/>
      <x:c r="J184" s="20"/>
    </x:row>
    <x:row r="185">
      <x:c r="A185" s="50"/>
      <x:c r="B185" s="20"/>
      <x:c r="C185" s="20"/>
      <x:c r="D185" s="20"/>
      <x:c r="E185" s="52"/>
      <x:c r="F185" s="20"/>
      <x:c r="G185" s="20"/>
      <x:c r="H185" s="20"/>
      <x:c r="I185" s="20"/>
      <x:c r="J185" s="20"/>
    </x:row>
    <x:row r="186">
      <x:c r="A186" s="50"/>
      <x:c r="B186" s="20"/>
      <x:c r="C186" s="20"/>
      <x:c r="D186" s="20"/>
      <x:c r="E186" s="52"/>
      <x:c r="F186" s="20"/>
      <x:c r="G186" s="20"/>
      <x:c r="H186" s="20"/>
      <x:c r="I186" s="20"/>
      <x:c r="J186" s="20"/>
    </x:row>
    <x:row r="187">
      <x:c r="A187" s="50"/>
      <x:c r="B187" s="20"/>
      <x:c r="C187" s="20"/>
      <x:c r="D187" s="20"/>
      <x:c r="E187" s="52"/>
      <x:c r="F187" s="20"/>
      <x:c r="G187" s="20"/>
      <x:c r="H187" s="20"/>
      <x:c r="I187" s="20"/>
      <x:c r="J187" s="20"/>
    </x:row>
    <x:row r="188">
      <x:c r="A188" s="50"/>
      <x:c r="B188" s="20"/>
      <x:c r="C188" s="20"/>
      <x:c r="D188" s="20"/>
      <x:c r="E188" s="52"/>
      <x:c r="F188" s="20"/>
      <x:c r="G188" s="20"/>
      <x:c r="H188" s="20"/>
      <x:c r="I188" s="20"/>
      <x:c r="J188" s="20"/>
    </x:row>
    <x:row r="189">
      <x:c r="A189" s="50"/>
      <x:c r="B189" s="20"/>
      <x:c r="C189" s="20"/>
      <x:c r="D189" s="20"/>
      <x:c r="E189" s="52"/>
      <x:c r="F189" s="20"/>
      <x:c r="G189" s="20"/>
      <x:c r="H189" s="20"/>
      <x:c r="I189" s="20"/>
      <x:c r="J189" s="20"/>
    </x:row>
    <x:row r="190">
      <x:c r="A190" s="50"/>
      <x:c r="B190" s="20"/>
      <x:c r="C190" s="20"/>
      <x:c r="D190" s="20"/>
      <x:c r="E190" s="52"/>
      <x:c r="F190" s="20"/>
      <x:c r="G190" s="20"/>
      <x:c r="H190" s="20"/>
      <x:c r="I190" s="20"/>
      <x:c r="J190" s="20"/>
    </x:row>
    <x:row r="191">
      <x:c r="A191" s="50"/>
      <x:c r="B191" s="20"/>
      <x:c r="C191" s="20"/>
      <x:c r="D191" s="20"/>
      <x:c r="E191" s="52"/>
      <x:c r="F191" s="20"/>
      <x:c r="G191" s="20"/>
      <x:c r="H191" s="20"/>
      <x:c r="I191" s="20"/>
      <x:c r="J191" s="20"/>
    </x:row>
    <x:row r="192">
      <x:c r="A192" s="50"/>
      <x:c r="B192" s="20"/>
      <x:c r="C192" s="20"/>
      <x:c r="D192" s="20"/>
      <x:c r="E192" s="52"/>
      <x:c r="F192" s="20"/>
      <x:c r="G192" s="20"/>
      <x:c r="H192" s="20"/>
      <x:c r="I192" s="20"/>
      <x:c r="J192" s="20"/>
    </x:row>
    <x:row r="193">
      <x:c r="A193" s="50"/>
      <x:c r="B193" s="20"/>
      <x:c r="C193" s="20"/>
      <x:c r="D193" s="20"/>
      <x:c r="E193" s="52"/>
      <x:c r="F193" s="20"/>
      <x:c r="G193" s="20"/>
      <x:c r="H193" s="20"/>
      <x:c r="I193" s="20"/>
      <x:c r="J193" s="20"/>
    </x:row>
    <x:row r="194">
      <x:c r="A194" s="50"/>
      <x:c r="B194" s="20"/>
      <x:c r="C194" s="20"/>
      <x:c r="D194" s="20"/>
      <x:c r="E194" s="52"/>
      <x:c r="F194" s="20"/>
      <x:c r="G194" s="20"/>
      <x:c r="H194" s="20"/>
      <x:c r="I194" s="20"/>
      <x:c r="J194" s="20"/>
    </x:row>
    <x:row r="195">
      <x:c r="A195" s="50"/>
      <x:c r="B195" s="20"/>
      <x:c r="C195" s="20"/>
      <x:c r="D195" s="20"/>
      <x:c r="E195" s="52"/>
      <x:c r="F195" s="20"/>
      <x:c r="G195" s="20"/>
      <x:c r="H195" s="20"/>
      <x:c r="I195" s="20"/>
      <x:c r="J195" s="20"/>
    </x:row>
    <x:row r="196">
      <x:c r="A196" s="50"/>
      <x:c r="B196" s="20"/>
      <x:c r="C196" s="20"/>
      <x:c r="D196" s="20"/>
      <x:c r="E196" s="52"/>
      <x:c r="F196" s="20"/>
      <x:c r="G196" s="20"/>
      <x:c r="H196" s="20"/>
      <x:c r="I196" s="20"/>
      <x:c r="J196" s="20"/>
    </x:row>
    <x:row r="197">
      <x:c r="A197" s="50"/>
      <x:c r="B197" s="20"/>
      <x:c r="C197" s="20"/>
      <x:c r="D197" s="20"/>
      <x:c r="E197" s="52"/>
      <x:c r="F197" s="20"/>
      <x:c r="G197" s="20"/>
      <x:c r="H197" s="20"/>
      <x:c r="I197" s="20"/>
      <x:c r="J197" s="20"/>
    </x:row>
    <x:row r="198">
      <x:c r="A198" s="50"/>
      <x:c r="B198" s="20"/>
      <x:c r="C198" s="20"/>
      <x:c r="D198" s="20"/>
      <x:c r="E198" s="52"/>
      <x:c r="F198" s="20"/>
      <x:c r="G198" s="20"/>
      <x:c r="H198" s="20"/>
      <x:c r="I198" s="20"/>
      <x:c r="J198" s="20"/>
    </x:row>
    <x:row r="199">
      <x:c r="A199" s="50"/>
      <x:c r="B199" s="20"/>
      <x:c r="C199" s="20"/>
      <x:c r="D199" s="20"/>
      <x:c r="E199" s="52"/>
      <x:c r="F199" s="20"/>
      <x:c r="G199" s="20"/>
      <x:c r="H199" s="20"/>
      <x:c r="I199" s="20"/>
      <x:c r="J199" s="20"/>
    </x:row>
    <x:row r="200">
      <x:c r="A200" s="50"/>
      <x:c r="B200" s="20"/>
      <x:c r="C200" s="20"/>
      <x:c r="D200" s="20"/>
      <x:c r="E200" s="52"/>
      <x:c r="F200" s="20"/>
      <x:c r="G200" s="20"/>
      <x:c r="H200" s="20"/>
      <x:c r="I200" s="20"/>
      <x:c r="J200" s="20"/>
    </x:row>
    <x:row r="201">
      <x:c r="A201" s="50"/>
      <x:c r="B201" s="20"/>
      <x:c r="C201" s="20"/>
      <x:c r="D201" s="20"/>
      <x:c r="E201" s="52"/>
      <x:c r="F201" s="20"/>
      <x:c r="G201" s="20"/>
      <x:c r="H201" s="20"/>
      <x:c r="I201" s="20"/>
      <x:c r="J201" s="20"/>
    </x:row>
    <x:row r="202">
      <x:c r="A202" s="50"/>
      <x:c r="B202" s="20"/>
      <x:c r="C202" s="20"/>
      <x:c r="D202" s="20"/>
      <x:c r="E202" s="52"/>
      <x:c r="F202" s="20"/>
      <x:c r="G202" s="20"/>
      <x:c r="H202" s="20"/>
      <x:c r="I202" s="20"/>
      <x:c r="J202" s="20"/>
    </x:row>
    <x:row r="203">
      <x:c r="A203" s="50"/>
      <x:c r="B203" s="20"/>
      <x:c r="C203" s="20"/>
      <x:c r="D203" s="20"/>
      <x:c r="E203" s="52"/>
      <x:c r="F203" s="20"/>
      <x:c r="G203" s="20"/>
      <x:c r="H203" s="20"/>
      <x:c r="I203" s="20"/>
      <x:c r="J203" s="20"/>
    </x:row>
    <x:row r="204">
      <x:c r="A204" s="50"/>
      <x:c r="B204" s="20"/>
      <x:c r="C204" s="20"/>
      <x:c r="D204" s="20"/>
      <x:c r="E204" s="52"/>
      <x:c r="F204" s="20"/>
      <x:c r="G204" s="20"/>
      <x:c r="H204" s="20"/>
      <x:c r="I204" s="20"/>
      <x:c r="J204" s="20"/>
    </x:row>
    <x:row r="205">
      <x:c r="A205" s="50"/>
      <x:c r="B205" s="20"/>
      <x:c r="C205" s="20"/>
      <x:c r="D205" s="20"/>
      <x:c r="E205" s="52"/>
      <x:c r="F205" s="20"/>
      <x:c r="G205" s="20"/>
      <x:c r="H205" s="20"/>
      <x:c r="I205" s="20"/>
      <x:c r="J205" s="20"/>
    </x:row>
    <x:row r="206">
      <x:c r="A206" s="50"/>
      <x:c r="B206" s="20"/>
      <x:c r="C206" s="20"/>
      <x:c r="D206" s="20"/>
      <x:c r="E206" s="52"/>
      <x:c r="F206" s="20"/>
      <x:c r="G206" s="20"/>
      <x:c r="H206" s="20"/>
      <x:c r="I206" s="20"/>
      <x:c r="J206" s="20"/>
    </x:row>
    <x:row r="207">
      <x:c r="A207" s="50"/>
      <x:c r="B207" s="20"/>
      <x:c r="C207" s="20"/>
      <x:c r="D207" s="20"/>
      <x:c r="E207" s="52"/>
      <x:c r="F207" s="20"/>
      <x:c r="G207" s="20"/>
      <x:c r="H207" s="20"/>
      <x:c r="I207" s="20"/>
      <x:c r="J207" s="20"/>
    </x:row>
    <x:row r="208">
      <x:c r="A208" s="50"/>
      <x:c r="B208" s="20"/>
      <x:c r="C208" s="20"/>
      <x:c r="D208" s="20"/>
      <x:c r="E208" s="52"/>
      <x:c r="F208" s="20"/>
      <x:c r="G208" s="20"/>
      <x:c r="H208" s="20"/>
      <x:c r="I208" s="20"/>
      <x:c r="J208" s="20"/>
    </x:row>
    <x:row r="209">
      <x:c r="A209" s="50"/>
      <x:c r="B209" s="20"/>
      <x:c r="C209" s="20"/>
      <x:c r="D209" s="20"/>
      <x:c r="E209" s="52"/>
      <x:c r="F209" s="20"/>
      <x:c r="G209" s="20"/>
      <x:c r="H209" s="20"/>
      <x:c r="I209" s="20"/>
      <x:c r="J209" s="20"/>
    </x:row>
    <x:row r="210">
      <x:c r="A210" s="50"/>
      <x:c r="B210" s="20"/>
      <x:c r="C210" s="20"/>
      <x:c r="D210" s="20"/>
      <x:c r="E210" s="52"/>
      <x:c r="F210" s="20"/>
      <x:c r="G210" s="20"/>
      <x:c r="H210" s="20"/>
      <x:c r="I210" s="20"/>
      <x:c r="J210" s="20"/>
    </x:row>
    <x:row r="211">
      <x:c r="A211" s="50"/>
      <x:c r="B211" s="20"/>
      <x:c r="C211" s="20"/>
      <x:c r="D211" s="20"/>
      <x:c r="E211" s="52"/>
      <x:c r="F211" s="20"/>
      <x:c r="G211" s="20"/>
      <x:c r="H211" s="20"/>
      <x:c r="I211" s="20"/>
      <x:c r="J211" s="20"/>
    </x:row>
    <x:row r="212">
      <x:c r="A212" s="50"/>
      <x:c r="B212" s="20"/>
      <x:c r="C212" s="20"/>
      <x:c r="D212" s="20"/>
      <x:c r="E212" s="52"/>
      <x:c r="F212" s="20"/>
      <x:c r="G212" s="20"/>
      <x:c r="H212" s="20"/>
      <x:c r="I212" s="20"/>
      <x:c r="J212" s="20"/>
    </x:row>
    <x:row r="213">
      <x:c r="A213" s="50"/>
      <x:c r="B213" s="20"/>
      <x:c r="C213" s="20"/>
      <x:c r="D213" s="20"/>
      <x:c r="E213" s="52"/>
      <x:c r="F213" s="20"/>
      <x:c r="G213" s="20"/>
      <x:c r="H213" s="20"/>
      <x:c r="I213" s="20"/>
      <x:c r="J213" s="20"/>
    </x:row>
    <x:row r="214">
      <x:c r="A214" s="50"/>
      <x:c r="B214" s="20"/>
      <x:c r="C214" s="20"/>
      <x:c r="D214" s="20"/>
      <x:c r="E214" s="52"/>
      <x:c r="F214" s="20"/>
      <x:c r="G214" s="20"/>
      <x:c r="H214" s="20"/>
      <x:c r="I214" s="20"/>
      <x:c r="J214" s="20"/>
    </x:row>
    <x:row r="215">
      <x:c r="A215" s="50"/>
      <x:c r="B215" s="20"/>
      <x:c r="C215" s="20"/>
      <x:c r="D215" s="20"/>
      <x:c r="E215" s="52"/>
      <x:c r="F215" s="20"/>
      <x:c r="G215" s="20"/>
      <x:c r="H215" s="20"/>
      <x:c r="I215" s="20"/>
      <x:c r="J215" s="20"/>
    </x:row>
    <x:row r="216">
      <x:c r="A216" s="50"/>
      <x:c r="B216" s="20"/>
      <x:c r="C216" s="20"/>
      <x:c r="D216" s="20"/>
      <x:c r="E216" s="52"/>
      <x:c r="F216" s="20"/>
      <x:c r="G216" s="20"/>
      <x:c r="H216" s="20"/>
      <x:c r="I216" s="20"/>
      <x:c r="J216" s="20"/>
    </x:row>
    <x:row r="217">
      <x:c r="A217" s="50"/>
      <x:c r="B217" s="20"/>
      <x:c r="C217" s="20"/>
      <x:c r="D217" s="20"/>
      <x:c r="E217" s="52"/>
      <x:c r="F217" s="20"/>
      <x:c r="G217" s="20"/>
      <x:c r="H217" s="20"/>
      <x:c r="I217" s="20"/>
      <x:c r="J217" s="20"/>
    </x:row>
    <x:row r="218">
      <x:c r="A218" s="50"/>
      <x:c r="B218" s="20"/>
      <x:c r="C218" s="20"/>
      <x:c r="D218" s="20"/>
      <x:c r="E218" s="52"/>
      <x:c r="F218" s="20"/>
      <x:c r="G218" s="20"/>
      <x:c r="H218" s="20"/>
      <x:c r="I218" s="20"/>
      <x:c r="J218" s="20"/>
    </x:row>
    <x:row r="219">
      <x:c r="A219" s="50"/>
      <x:c r="B219" s="20"/>
      <x:c r="C219" s="20"/>
      <x:c r="D219" s="20"/>
      <x:c r="E219" s="52"/>
      <x:c r="F219" s="20"/>
      <x:c r="G219" s="20"/>
      <x:c r="H219" s="20"/>
      <x:c r="I219" s="20"/>
      <x:c r="J219" s="20"/>
    </x:row>
    <x:row r="220">
      <x:c r="A220" s="50"/>
      <x:c r="B220" s="20"/>
      <x:c r="C220" s="20"/>
      <x:c r="D220" s="20"/>
      <x:c r="E220" s="52"/>
      <x:c r="F220" s="20"/>
      <x:c r="G220" s="20"/>
      <x:c r="H220" s="20"/>
      <x:c r="I220" s="20"/>
      <x:c r="J220" s="20"/>
    </x:row>
    <x:row r="221">
      <x:c r="A221" s="50"/>
      <x:c r="B221" s="20"/>
      <x:c r="C221" s="20"/>
      <x:c r="D221" s="20"/>
      <x:c r="E221" s="52"/>
      <x:c r="F221" s="20"/>
      <x:c r="G221" s="20"/>
      <x:c r="H221" s="20"/>
      <x:c r="I221" s="20"/>
      <x:c r="J221" s="20"/>
    </x:row>
    <x:row r="222">
      <x:c r="A222" s="50"/>
      <x:c r="B222" s="20"/>
      <x:c r="C222" s="20"/>
      <x:c r="D222" s="20"/>
      <x:c r="E222" s="52"/>
      <x:c r="F222" s="20"/>
      <x:c r="G222" s="20"/>
      <x:c r="H222" s="20"/>
      <x:c r="I222" s="20"/>
      <x:c r="J222" s="20"/>
    </x:row>
    <x:row r="223">
      <x:c r="A223" s="50"/>
      <x:c r="B223" s="20"/>
      <x:c r="C223" s="20"/>
      <x:c r="D223" s="20"/>
      <x:c r="E223" s="52"/>
      <x:c r="F223" s="20"/>
      <x:c r="G223" s="20"/>
      <x:c r="H223" s="20"/>
      <x:c r="I223" s="20"/>
      <x:c r="J223" s="20"/>
    </x:row>
    <x:row r="224">
      <x:c r="A224" s="50"/>
      <x:c r="B224" s="20"/>
      <x:c r="C224" s="20"/>
      <x:c r="D224" s="20"/>
      <x:c r="E224" s="52"/>
      <x:c r="F224" s="20"/>
      <x:c r="G224" s="20"/>
      <x:c r="H224" s="20"/>
      <x:c r="I224" s="20"/>
      <x:c r="J224" s="20"/>
    </x:row>
    <x:row r="225">
      <x:c r="A225" s="50"/>
      <x:c r="B225" s="20"/>
      <x:c r="C225" s="20"/>
      <x:c r="D225" s="20"/>
      <x:c r="E225" s="52"/>
      <x:c r="F225" s="20"/>
      <x:c r="G225" s="20"/>
      <x:c r="H225" s="20"/>
      <x:c r="I225" s="20"/>
      <x:c r="J225" s="20"/>
    </x:row>
    <x:row r="226">
      <x:c r="A226" s="50"/>
      <x:c r="B226" s="20"/>
      <x:c r="C226" s="20"/>
      <x:c r="D226" s="20"/>
      <x:c r="E226" s="52"/>
      <x:c r="F226" s="20"/>
      <x:c r="G226" s="20"/>
      <x:c r="H226" s="20"/>
      <x:c r="I226" s="20"/>
      <x:c r="J226" s="20"/>
    </x:row>
    <x:row r="227">
      <x:c r="A227" s="50"/>
      <x:c r="B227" s="20"/>
      <x:c r="C227" s="20"/>
      <x:c r="D227" s="20"/>
      <x:c r="E227" s="52"/>
      <x:c r="F227" s="20"/>
      <x:c r="G227" s="20"/>
      <x:c r="H227" s="20"/>
      <x:c r="I227" s="20"/>
      <x:c r="J227" s="20"/>
    </x:row>
    <x:row r="228">
      <x:c r="A228" s="50"/>
      <x:c r="B228" s="20"/>
      <x:c r="C228" s="20"/>
      <x:c r="D228" s="20"/>
      <x:c r="E228" s="52"/>
      <x:c r="F228" s="20"/>
      <x:c r="G228" s="20"/>
      <x:c r="H228" s="20"/>
      <x:c r="I228" s="20"/>
      <x:c r="J228" s="20"/>
    </x:row>
    <x:row r="229">
      <x:c r="A229" s="50"/>
      <x:c r="B229" s="20"/>
      <x:c r="C229" s="20"/>
      <x:c r="D229" s="20"/>
      <x:c r="E229" s="52"/>
      <x:c r="F229" s="20"/>
      <x:c r="G229" s="20"/>
      <x:c r="H229" s="20"/>
      <x:c r="I229" s="20"/>
      <x:c r="J229" s="20"/>
    </x:row>
    <x:row r="230">
      <x:c r="A230" s="50"/>
      <x:c r="B230" s="20"/>
      <x:c r="C230" s="20"/>
      <x:c r="D230" s="20"/>
      <x:c r="E230" s="52"/>
      <x:c r="F230" s="20"/>
      <x:c r="G230" s="20"/>
      <x:c r="H230" s="20"/>
      <x:c r="I230" s="20"/>
      <x:c r="J230" s="20"/>
    </x:row>
    <x:row r="231">
      <x:c r="A231" s="50"/>
      <x:c r="B231" s="20"/>
      <x:c r="C231" s="20"/>
      <x:c r="D231" s="20"/>
      <x:c r="E231" s="52"/>
      <x:c r="F231" s="20"/>
      <x:c r="G231" s="20"/>
      <x:c r="H231" s="20"/>
      <x:c r="I231" s="20"/>
      <x:c r="J231" s="20"/>
    </x:row>
    <x:row r="232">
      <x:c r="A232" s="50"/>
      <x:c r="B232" s="20"/>
      <x:c r="C232" s="20"/>
      <x:c r="D232" s="20"/>
      <x:c r="E232" s="52"/>
      <x:c r="F232" s="20"/>
      <x:c r="G232" s="20"/>
      <x:c r="H232" s="20"/>
      <x:c r="I232" s="20"/>
      <x:c r="J232" s="20"/>
    </x:row>
    <x:row r="233">
      <x:c r="A233" s="50"/>
      <x:c r="B233" s="20"/>
      <x:c r="C233" s="20"/>
      <x:c r="D233" s="20"/>
      <x:c r="E233" s="52"/>
      <x:c r="F233" s="20"/>
      <x:c r="G233" s="20"/>
      <x:c r="H233" s="20"/>
      <x:c r="I233" s="20"/>
      <x:c r="J233" s="20"/>
    </x:row>
    <x:row r="234">
      <x:c r="A234" s="50"/>
      <x:c r="B234" s="20"/>
      <x:c r="C234" s="20"/>
      <x:c r="D234" s="20"/>
      <x:c r="E234" s="52"/>
      <x:c r="F234" s="20"/>
      <x:c r="G234" s="20"/>
      <x:c r="H234" s="20"/>
      <x:c r="I234" s="20"/>
      <x:c r="J234" s="20"/>
    </x:row>
    <x:row r="235">
      <x:c r="A235" s="50"/>
      <x:c r="B235" s="20"/>
      <x:c r="C235" s="20"/>
      <x:c r="D235" s="20"/>
      <x:c r="E235" s="52"/>
      <x:c r="F235" s="20"/>
      <x:c r="G235" s="20"/>
      <x:c r="H235" s="20"/>
      <x:c r="I235" s="20"/>
      <x:c r="J235" s="20"/>
    </x:row>
    <x:row r="236">
      <x:c r="A236" s="50"/>
      <x:c r="B236" s="20"/>
      <x:c r="C236" s="20"/>
      <x:c r="D236" s="20"/>
      <x:c r="E236" s="52"/>
      <x:c r="F236" s="20"/>
      <x:c r="G236" s="20"/>
      <x:c r="H236" s="20"/>
      <x:c r="I236" s="20"/>
      <x:c r="J236" s="20"/>
    </x:row>
    <x:row r="237">
      <x:c r="A237" s="50"/>
      <x:c r="B237" s="20"/>
      <x:c r="C237" s="20"/>
      <x:c r="D237" s="20"/>
      <x:c r="E237" s="52"/>
      <x:c r="F237" s="20"/>
      <x:c r="G237" s="20"/>
      <x:c r="H237" s="20"/>
      <x:c r="I237" s="20"/>
      <x:c r="J237" s="20"/>
    </x:row>
    <x:row r="238">
      <x:c r="A238" s="50"/>
      <x:c r="B238" s="20"/>
      <x:c r="C238" s="20"/>
      <x:c r="D238" s="20"/>
      <x:c r="E238" s="52"/>
      <x:c r="F238" s="20"/>
      <x:c r="G238" s="20"/>
      <x:c r="H238" s="20"/>
      <x:c r="I238" s="20"/>
      <x:c r="J238" s="20"/>
    </x:row>
    <x:row r="239">
      <x:c r="A239" s="50"/>
      <x:c r="B239" s="20"/>
      <x:c r="C239" s="20"/>
      <x:c r="D239" s="20"/>
      <x:c r="E239" s="52"/>
      <x:c r="F239" s="20"/>
      <x:c r="G239" s="20"/>
      <x:c r="H239" s="20"/>
      <x:c r="I239" s="20"/>
      <x:c r="J239" s="20"/>
    </x:row>
    <x:row r="240">
      <x:c r="A240" s="50"/>
      <x:c r="B240" s="20"/>
      <x:c r="C240" s="20"/>
      <x:c r="D240" s="20"/>
      <x:c r="E240" s="52"/>
      <x:c r="F240" s="20"/>
      <x:c r="G240" s="20"/>
      <x:c r="H240" s="20"/>
      <x:c r="I240" s="20"/>
      <x:c r="J240" s="20"/>
    </x:row>
    <x:row r="241">
      <x:c r="A241" s="50"/>
      <x:c r="B241" s="20"/>
      <x:c r="C241" s="20"/>
      <x:c r="D241" s="20"/>
      <x:c r="E241" s="52"/>
      <x:c r="F241" s="20"/>
      <x:c r="G241" s="20"/>
      <x:c r="H241" s="20"/>
      <x:c r="I241" s="20"/>
      <x:c r="J241" s="20"/>
    </x:row>
    <x:row r="242">
      <x:c r="A242" s="50"/>
      <x:c r="B242" s="20"/>
      <x:c r="C242" s="20"/>
      <x:c r="D242" s="20"/>
      <x:c r="E242" s="52"/>
      <x:c r="F242" s="20"/>
      <x:c r="G242" s="20"/>
      <x:c r="H242" s="20"/>
      <x:c r="I242" s="20"/>
      <x:c r="J242" s="20"/>
    </x:row>
    <x:row r="243">
      <x:c r="A243" s="50"/>
      <x:c r="B243" s="20"/>
      <x:c r="C243" s="20"/>
      <x:c r="D243" s="20"/>
      <x:c r="E243" s="52"/>
      <x:c r="F243" s="20"/>
      <x:c r="G243" s="20"/>
      <x:c r="H243" s="20"/>
      <x:c r="I243" s="20"/>
      <x:c r="J243" s="20"/>
    </x:row>
    <x:row r="244">
      <x:c r="A244" s="50"/>
      <x:c r="B244" s="20"/>
      <x:c r="C244" s="20"/>
      <x:c r="D244" s="20"/>
      <x:c r="E244" s="52"/>
      <x:c r="F244" s="20"/>
      <x:c r="G244" s="20"/>
      <x:c r="H244" s="20"/>
      <x:c r="I244" s="20"/>
      <x:c r="J244" s="20"/>
    </x:row>
    <x:row r="245">
      <x:c r="A245" s="50"/>
      <x:c r="B245" s="20"/>
      <x:c r="C245" s="20"/>
      <x:c r="D245" s="20"/>
      <x:c r="E245" s="52"/>
      <x:c r="F245" s="20"/>
      <x:c r="G245" s="20"/>
      <x:c r="H245" s="20"/>
      <x:c r="I245" s="20"/>
      <x:c r="J245" s="20"/>
    </x:row>
    <x:row r="246">
      <x:c r="A246" s="50"/>
      <x:c r="B246" s="20"/>
      <x:c r="C246" s="20"/>
      <x:c r="D246" s="20"/>
      <x:c r="E246" s="52"/>
      <x:c r="F246" s="20"/>
      <x:c r="G246" s="20"/>
      <x:c r="H246" s="20"/>
      <x:c r="I246" s="20"/>
      <x:c r="J246" s="20"/>
    </x:row>
    <x:row r="247">
      <x:c r="A247" s="50"/>
      <x:c r="B247" s="20"/>
      <x:c r="C247" s="20"/>
      <x:c r="D247" s="20"/>
      <x:c r="E247" s="52"/>
      <x:c r="F247" s="20"/>
      <x:c r="G247" s="20"/>
      <x:c r="H247" s="20"/>
      <x:c r="I247" s="20"/>
      <x:c r="J247" s="20"/>
    </x:row>
    <x:row r="248">
      <x:c r="A248" s="50"/>
      <x:c r="B248" s="20"/>
      <x:c r="C248" s="20"/>
      <x:c r="D248" s="20"/>
      <x:c r="E248" s="52"/>
      <x:c r="F248" s="20"/>
      <x:c r="G248" s="20"/>
      <x:c r="H248" s="20"/>
      <x:c r="I248" s="20"/>
      <x:c r="J248" s="20"/>
    </x:row>
    <x:row r="249">
      <x:c r="A249" s="50"/>
      <x:c r="B249" s="20"/>
      <x:c r="C249" s="20"/>
      <x:c r="D249" s="20"/>
      <x:c r="E249" s="52"/>
      <x:c r="F249" s="20"/>
      <x:c r="G249" s="20"/>
      <x:c r="H249" s="20"/>
      <x:c r="I249" s="20"/>
      <x:c r="J249" s="20"/>
    </x:row>
    <x:row r="250">
      <x:c r="A250" s="50"/>
      <x:c r="B250" s="20"/>
      <x:c r="C250" s="20"/>
      <x:c r="D250" s="20"/>
      <x:c r="E250" s="52"/>
      <x:c r="F250" s="20"/>
      <x:c r="G250" s="20"/>
      <x:c r="H250" s="20"/>
      <x:c r="I250" s="20"/>
      <x:c r="J250" s="20"/>
    </x:row>
    <x:row r="251">
      <x:c r="A251" s="50"/>
      <x:c r="B251" s="20"/>
      <x:c r="C251" s="20"/>
      <x:c r="D251" s="20"/>
      <x:c r="E251" s="52"/>
      <x:c r="F251" s="20"/>
      <x:c r="G251" s="20"/>
      <x:c r="H251" s="20"/>
      <x:c r="I251" s="20"/>
      <x:c r="J251" s="20"/>
    </x:row>
    <x:row r="252">
      <x:c r="A252" s="50"/>
      <x:c r="B252" s="20"/>
      <x:c r="C252" s="20"/>
      <x:c r="D252" s="20"/>
      <x:c r="E252" s="52"/>
      <x:c r="F252" s="20"/>
      <x:c r="G252" s="20"/>
      <x:c r="H252" s="20"/>
      <x:c r="I252" s="20"/>
      <x:c r="J252" s="20"/>
    </x:row>
    <x:row r="253">
      <x:c r="A253" s="50"/>
      <x:c r="B253" s="20"/>
      <x:c r="C253" s="20"/>
      <x:c r="D253" s="20"/>
      <x:c r="E253" s="52"/>
      <x:c r="F253" s="20"/>
      <x:c r="G253" s="20"/>
      <x:c r="H253" s="20"/>
      <x:c r="I253" s="20"/>
      <x:c r="J253" s="20"/>
    </x:row>
    <x:row r="254">
      <x:c r="A254" s="50"/>
      <x:c r="B254" s="20"/>
      <x:c r="C254" s="20"/>
      <x:c r="D254" s="20"/>
      <x:c r="E254" s="52"/>
      <x:c r="F254" s="20"/>
      <x:c r="G254" s="20"/>
      <x:c r="H254" s="20"/>
      <x:c r="I254" s="20"/>
      <x:c r="J254" s="20"/>
    </x:row>
    <x:row r="255">
      <x:c r="A255" s="50"/>
      <x:c r="B255" s="20"/>
      <x:c r="C255" s="20"/>
      <x:c r="D255" s="20"/>
      <x:c r="E255" s="52"/>
      <x:c r="F255" s="20"/>
      <x:c r="G255" s="20"/>
      <x:c r="H255" s="20"/>
      <x:c r="I255" s="20"/>
      <x:c r="J255" s="20"/>
    </x:row>
    <x:row r="256">
      <x:c r="A256" s="50"/>
      <x:c r="B256" s="20"/>
      <x:c r="C256" s="20"/>
      <x:c r="D256" s="20"/>
      <x:c r="E256" s="52"/>
      <x:c r="F256" s="20"/>
      <x:c r="G256" s="20"/>
      <x:c r="H256" s="20"/>
      <x:c r="I256" s="20"/>
      <x:c r="J256" s="20"/>
    </x:row>
    <x:row r="257">
      <x:c r="A257" s="50"/>
      <x:c r="B257" s="20"/>
      <x:c r="C257" s="20"/>
      <x:c r="D257" s="20"/>
      <x:c r="E257" s="52"/>
      <x:c r="F257" s="20"/>
      <x:c r="G257" s="20"/>
      <x:c r="H257" s="20"/>
      <x:c r="I257" s="20"/>
      <x:c r="J257" s="20"/>
    </x:row>
    <x:row r="258">
      <x:c r="A258" s="50"/>
      <x:c r="B258" s="20"/>
      <x:c r="C258" s="20"/>
      <x:c r="D258" s="20"/>
      <x:c r="E258" s="52"/>
      <x:c r="F258" s="20"/>
      <x:c r="G258" s="20"/>
      <x:c r="H258" s="20"/>
      <x:c r="I258" s="20"/>
      <x:c r="J258" s="20"/>
    </x:row>
    <x:row r="259">
      <x:c r="A259" s="50"/>
      <x:c r="B259" s="20"/>
      <x:c r="C259" s="20"/>
      <x:c r="D259" s="20"/>
      <x:c r="E259" s="52"/>
      <x:c r="F259" s="20"/>
      <x:c r="G259" s="20"/>
      <x:c r="H259" s="20"/>
      <x:c r="I259" s="20"/>
      <x:c r="J259" s="20"/>
    </x:row>
    <x:row r="260">
      <x:c r="A260" s="50"/>
      <x:c r="B260" s="20"/>
      <x:c r="C260" s="20"/>
      <x:c r="D260" s="20"/>
      <x:c r="E260" s="52"/>
      <x:c r="F260" s="20"/>
      <x:c r="G260" s="20"/>
      <x:c r="H260" s="20"/>
      <x:c r="I260" s="20"/>
      <x:c r="J260" s="20"/>
    </x:row>
    <x:row r="261">
      <x:c r="A261" s="50"/>
      <x:c r="B261" s="20"/>
      <x:c r="C261" s="20"/>
      <x:c r="D261" s="20"/>
      <x:c r="E261" s="52"/>
      <x:c r="F261" s="20"/>
      <x:c r="G261" s="20"/>
      <x:c r="H261" s="20"/>
      <x:c r="I261" s="20"/>
      <x:c r="J261" s="20"/>
    </x:row>
    <x:row r="262">
      <x:c r="A262" s="50"/>
      <x:c r="B262" s="20"/>
      <x:c r="C262" s="20"/>
      <x:c r="D262" s="20"/>
      <x:c r="E262" s="52"/>
      <x:c r="F262" s="20"/>
      <x:c r="G262" s="20"/>
      <x:c r="H262" s="20"/>
      <x:c r="I262" s="20"/>
      <x:c r="J262" s="20"/>
    </x:row>
    <x:row r="263">
      <x:c r="A263" s="50"/>
      <x:c r="B263" s="20"/>
      <x:c r="C263" s="20"/>
      <x:c r="D263" s="20"/>
      <x:c r="E263" s="52"/>
      <x:c r="F263" s="20"/>
      <x:c r="G263" s="20"/>
      <x:c r="H263" s="20"/>
      <x:c r="I263" s="20"/>
      <x:c r="J263" s="20"/>
    </x:row>
    <x:row r="264">
      <x:c r="A264" s="50"/>
      <x:c r="B264" s="20"/>
      <x:c r="C264" s="20"/>
      <x:c r="D264" s="20"/>
      <x:c r="E264" s="52"/>
      <x:c r="F264" s="20"/>
      <x:c r="G264" s="20"/>
      <x:c r="H264" s="20"/>
      <x:c r="I264" s="20"/>
      <x:c r="J264" s="20"/>
    </x:row>
    <x:row r="265">
      <x:c r="A265" s="50"/>
      <x:c r="B265" s="20"/>
      <x:c r="C265" s="20"/>
      <x:c r="D265" s="20"/>
      <x:c r="E265" s="52"/>
      <x:c r="F265" s="20"/>
      <x:c r="G265" s="20"/>
      <x:c r="H265" s="20"/>
      <x:c r="I265" s="20"/>
      <x:c r="J265" s="20"/>
    </x:row>
    <x:row r="266">
      <x:c r="A266" s="50"/>
      <x:c r="B266" s="20"/>
      <x:c r="C266" s="20"/>
      <x:c r="D266" s="20"/>
      <x:c r="E266" s="52"/>
      <x:c r="F266" s="20"/>
      <x:c r="G266" s="20"/>
      <x:c r="H266" s="20"/>
      <x:c r="I266" s="20"/>
      <x:c r="J266" s="20"/>
    </x:row>
    <x:row r="267">
      <x:c r="A267" s="50"/>
      <x:c r="B267" s="20"/>
      <x:c r="C267" s="20"/>
      <x:c r="D267" s="20"/>
      <x:c r="E267" s="52"/>
      <x:c r="F267" s="20"/>
      <x:c r="G267" s="20"/>
      <x:c r="H267" s="20"/>
      <x:c r="I267" s="20"/>
      <x:c r="J267" s="20"/>
    </x:row>
    <x:row r="268">
      <x:c r="A268" s="50"/>
      <x:c r="B268" s="20"/>
      <x:c r="C268" s="20"/>
      <x:c r="D268" s="20"/>
      <x:c r="E268" s="52"/>
      <x:c r="F268" s="20"/>
      <x:c r="G268" s="20"/>
      <x:c r="H268" s="20"/>
      <x:c r="I268" s="20"/>
      <x:c r="J268" s="20"/>
    </x:row>
    <x:row r="269">
      <x:c r="A269" s="50"/>
      <x:c r="B269" s="20"/>
      <x:c r="C269" s="20"/>
      <x:c r="D269" s="20"/>
      <x:c r="E269" s="52"/>
      <x:c r="F269" s="20"/>
      <x:c r="G269" s="20"/>
      <x:c r="H269" s="20"/>
      <x:c r="I269" s="20"/>
      <x:c r="J269" s="20"/>
    </x:row>
    <x:row r="270">
      <x:c r="A270" s="50"/>
      <x:c r="B270" s="20"/>
      <x:c r="C270" s="20"/>
      <x:c r="D270" s="20"/>
      <x:c r="E270" s="52"/>
      <x:c r="F270" s="20"/>
      <x:c r="G270" s="20"/>
      <x:c r="H270" s="20"/>
      <x:c r="I270" s="20"/>
      <x:c r="J270" s="20"/>
    </x:row>
    <x:row r="271">
      <x:c r="A271" s="50"/>
      <x:c r="B271" s="20"/>
      <x:c r="C271" s="20"/>
      <x:c r="D271" s="20"/>
      <x:c r="E271" s="52"/>
      <x:c r="F271" s="20"/>
      <x:c r="G271" s="20"/>
      <x:c r="H271" s="20"/>
      <x:c r="I271" s="20"/>
      <x:c r="J271" s="20"/>
    </x:row>
    <x:row r="272">
      <x:c r="A272" s="50"/>
      <x:c r="B272" s="20"/>
      <x:c r="C272" s="20"/>
      <x:c r="D272" s="20"/>
      <x:c r="E272" s="52"/>
      <x:c r="F272" s="20"/>
      <x:c r="G272" s="20"/>
      <x:c r="H272" s="20"/>
      <x:c r="I272" s="20"/>
      <x:c r="J272" s="20"/>
    </x:row>
    <x:row r="273">
      <x:c r="A273" s="50"/>
      <x:c r="B273" s="20"/>
      <x:c r="C273" s="20"/>
      <x:c r="D273" s="20"/>
      <x:c r="E273" s="52"/>
      <x:c r="F273" s="20"/>
      <x:c r="G273" s="20"/>
      <x:c r="H273" s="20"/>
      <x:c r="I273" s="20"/>
      <x:c r="J273" s="20"/>
    </x:row>
    <x:row r="274">
      <x:c r="A274" s="50"/>
      <x:c r="B274" s="20"/>
      <x:c r="C274" s="20"/>
      <x:c r="D274" s="20"/>
      <x:c r="E274" s="52"/>
      <x:c r="F274" s="20"/>
      <x:c r="G274" s="20"/>
      <x:c r="H274" s="20"/>
      <x:c r="I274" s="20"/>
      <x:c r="J274" s="20"/>
    </x:row>
    <x:row r="275">
      <x:c r="A275" s="50"/>
      <x:c r="B275" s="20"/>
      <x:c r="C275" s="20"/>
      <x:c r="D275" s="20"/>
      <x:c r="E275" s="52"/>
      <x:c r="F275" s="20"/>
      <x:c r="G275" s="20"/>
      <x:c r="H275" s="20"/>
      <x:c r="I275" s="20"/>
      <x:c r="J275" s="20"/>
    </x:row>
    <x:row r="276">
      <x:c r="A276" s="50"/>
      <x:c r="B276" s="20"/>
      <x:c r="C276" s="20"/>
      <x:c r="D276" s="20"/>
      <x:c r="E276" s="52"/>
      <x:c r="F276" s="20"/>
      <x:c r="G276" s="20"/>
      <x:c r="H276" s="20"/>
      <x:c r="I276" s="20"/>
      <x:c r="J276" s="20"/>
    </x:row>
    <x:row r="277">
      <x:c r="A277" s="50"/>
      <x:c r="B277" s="20"/>
      <x:c r="C277" s="20"/>
      <x:c r="D277" s="20"/>
      <x:c r="E277" s="52"/>
      <x:c r="F277" s="20"/>
      <x:c r="G277" s="20"/>
      <x:c r="H277" s="20"/>
      <x:c r="I277" s="20"/>
      <x:c r="J277" s="20"/>
    </x:row>
    <x:row r="278">
      <x:c r="A278" s="50"/>
      <x:c r="B278" s="20"/>
      <x:c r="C278" s="20"/>
      <x:c r="D278" s="20"/>
      <x:c r="E278" s="52"/>
      <x:c r="F278" s="20"/>
      <x:c r="G278" s="20"/>
      <x:c r="H278" s="20"/>
      <x:c r="I278" s="20"/>
      <x:c r="J278" s="20"/>
    </x:row>
    <x:row r="279">
      <x:c r="A279" s="50"/>
      <x:c r="B279" s="20"/>
      <x:c r="C279" s="20"/>
      <x:c r="D279" s="20"/>
      <x:c r="E279" s="52"/>
      <x:c r="F279" s="20"/>
      <x:c r="G279" s="20"/>
      <x:c r="H279" s="20"/>
      <x:c r="I279" s="20"/>
      <x:c r="J279" s="20"/>
    </x:row>
    <x:row r="280">
      <x:c r="A280" s="50"/>
      <x:c r="B280" s="20"/>
      <x:c r="C280" s="20"/>
      <x:c r="D280" s="20"/>
      <x:c r="E280" s="52"/>
      <x:c r="F280" s="20"/>
      <x:c r="G280" s="20"/>
      <x:c r="H280" s="20"/>
      <x:c r="I280" s="20"/>
      <x:c r="J280" s="20"/>
    </x:row>
    <x:row r="281">
      <x:c r="A281" s="50"/>
      <x:c r="B281" s="20"/>
      <x:c r="C281" s="20"/>
      <x:c r="D281" s="20"/>
      <x:c r="E281" s="52"/>
      <x:c r="F281" s="20"/>
      <x:c r="G281" s="20"/>
      <x:c r="H281" s="20"/>
      <x:c r="I281" s="20"/>
      <x:c r="J281" s="20"/>
    </x:row>
    <x:row r="282">
      <x:c r="A282" s="50"/>
      <x:c r="B282" s="20"/>
      <x:c r="C282" s="20"/>
      <x:c r="D282" s="20"/>
      <x:c r="E282" s="52"/>
      <x:c r="F282" s="20"/>
      <x:c r="G282" s="20"/>
      <x:c r="H282" s="20"/>
      <x:c r="I282" s="20"/>
      <x:c r="J282" s="20"/>
    </x:row>
    <x:row r="283">
      <x:c r="A283" s="50"/>
      <x:c r="B283" s="20"/>
      <x:c r="C283" s="20"/>
      <x:c r="D283" s="20"/>
      <x:c r="E283" s="52"/>
      <x:c r="F283" s="20"/>
      <x:c r="G283" s="20"/>
      <x:c r="H283" s="20"/>
      <x:c r="I283" s="20"/>
      <x:c r="J283" s="20"/>
    </x:row>
    <x:row r="284">
      <x:c r="A284" s="50"/>
      <x:c r="B284" s="20"/>
      <x:c r="C284" s="20"/>
      <x:c r="D284" s="20"/>
      <x:c r="E284" s="52"/>
      <x:c r="F284" s="20"/>
      <x:c r="G284" s="20"/>
      <x:c r="H284" s="20"/>
      <x:c r="I284" s="20"/>
      <x:c r="J284" s="20"/>
    </x:row>
    <x:row r="285">
      <x:c r="A285" s="50"/>
      <x:c r="B285" s="20"/>
      <x:c r="C285" s="20"/>
      <x:c r="D285" s="20"/>
      <x:c r="E285" s="52"/>
      <x:c r="F285" s="20"/>
      <x:c r="G285" s="20"/>
      <x:c r="H285" s="20"/>
      <x:c r="I285" s="20"/>
      <x:c r="J285" s="20"/>
    </x:row>
    <x:row r="286">
      <x:c r="A286" s="50"/>
      <x:c r="B286" s="20"/>
      <x:c r="C286" s="20"/>
      <x:c r="D286" s="20"/>
      <x:c r="E286" s="52"/>
      <x:c r="F286" s="20"/>
      <x:c r="G286" s="20"/>
      <x:c r="H286" s="20"/>
      <x:c r="I286" s="20"/>
      <x:c r="J286" s="20"/>
    </x:row>
    <x:row r="287">
      <x:c r="A287" s="50"/>
      <x:c r="B287" s="20"/>
      <x:c r="C287" s="20"/>
      <x:c r="D287" s="20"/>
      <x:c r="E287" s="52"/>
      <x:c r="F287" s="20"/>
      <x:c r="G287" s="20"/>
      <x:c r="H287" s="20"/>
      <x:c r="I287" s="20"/>
      <x:c r="J287" s="20"/>
    </x:row>
    <x:row r="288">
      <x:c r="A288" s="50"/>
      <x:c r="B288" s="20"/>
      <x:c r="C288" s="20"/>
      <x:c r="D288" s="20"/>
      <x:c r="E288" s="52"/>
      <x:c r="F288" s="20"/>
      <x:c r="G288" s="20"/>
      <x:c r="H288" s="20"/>
      <x:c r="I288" s="20"/>
      <x:c r="J288" s="20"/>
    </x:row>
    <x:row r="289">
      <x:c r="A289" s="50"/>
      <x:c r="B289" s="20"/>
      <x:c r="C289" s="20"/>
      <x:c r="D289" s="20"/>
      <x:c r="E289" s="52"/>
      <x:c r="F289" s="20"/>
      <x:c r="G289" s="20"/>
      <x:c r="H289" s="20"/>
      <x:c r="I289" s="20"/>
      <x:c r="J289" s="20"/>
    </x:row>
    <x:row r="290">
      <x:c r="A290" s="50"/>
      <x:c r="B290" s="20"/>
      <x:c r="C290" s="20"/>
      <x:c r="D290" s="20"/>
      <x:c r="E290" s="52"/>
      <x:c r="F290" s="20"/>
      <x:c r="G290" s="20"/>
      <x:c r="H290" s="20"/>
      <x:c r="I290" s="20"/>
      <x:c r="J290" s="20"/>
    </x:row>
    <x:row r="291">
      <x:c r="A291" s="50"/>
      <x:c r="B291" s="20"/>
      <x:c r="C291" s="20"/>
      <x:c r="D291" s="20"/>
      <x:c r="E291" s="52"/>
      <x:c r="F291" s="20"/>
      <x:c r="G291" s="20"/>
      <x:c r="H291" s="20"/>
      <x:c r="I291" s="20"/>
      <x:c r="J291" s="20"/>
    </x:row>
    <x:row r="292">
      <x:c r="A292" s="50"/>
      <x:c r="B292" s="20"/>
      <x:c r="C292" s="20"/>
      <x:c r="D292" s="20"/>
      <x:c r="E292" s="52"/>
      <x:c r="F292" s="20"/>
      <x:c r="G292" s="20"/>
      <x:c r="H292" s="20"/>
      <x:c r="I292" s="20"/>
      <x:c r="J292" s="20"/>
    </x:row>
    <x:row r="293">
      <x:c r="A293" s="50"/>
      <x:c r="B293" s="20"/>
      <x:c r="C293" s="20"/>
      <x:c r="D293" s="20"/>
      <x:c r="E293" s="52"/>
      <x:c r="F293" s="20"/>
      <x:c r="G293" s="20"/>
      <x:c r="H293" s="20"/>
      <x:c r="I293" s="20"/>
      <x:c r="J293" s="20"/>
    </x:row>
    <x:row r="294">
      <x:c r="A294" s="50"/>
      <x:c r="B294" s="20"/>
      <x:c r="C294" s="20"/>
      <x:c r="D294" s="20"/>
      <x:c r="E294" s="52"/>
      <x:c r="F294" s="20"/>
      <x:c r="G294" s="20"/>
      <x:c r="H294" s="20"/>
      <x:c r="I294" s="20"/>
      <x:c r="J294" s="20"/>
    </x:row>
    <x:row r="295">
      <x:c r="A295" s="50"/>
      <x:c r="B295" s="20"/>
      <x:c r="C295" s="20"/>
      <x:c r="D295" s="20"/>
      <x:c r="E295" s="52"/>
      <x:c r="F295" s="20"/>
      <x:c r="G295" s="20"/>
      <x:c r="H295" s="20"/>
      <x:c r="I295" s="20"/>
      <x:c r="J295" s="20"/>
    </x:row>
    <x:row r="296">
      <x:c r="A296" s="50"/>
      <x:c r="B296" s="20"/>
      <x:c r="C296" s="20"/>
      <x:c r="D296" s="20"/>
      <x:c r="E296" s="52"/>
      <x:c r="F296" s="20"/>
      <x:c r="G296" s="20"/>
      <x:c r="H296" s="20"/>
      <x:c r="I296" s="20"/>
      <x:c r="J296" s="20"/>
    </x:row>
    <x:row r="297">
      <x:c r="A297" s="50"/>
      <x:c r="B297" s="20"/>
      <x:c r="C297" s="20"/>
      <x:c r="D297" s="20"/>
      <x:c r="E297" s="52"/>
      <x:c r="F297" s="20"/>
      <x:c r="G297" s="20"/>
      <x:c r="H297" s="20"/>
      <x:c r="I297" s="20"/>
      <x:c r="J297" s="20"/>
    </x:row>
    <x:row r="298">
      <x:c r="A298" s="50"/>
      <x:c r="B298" s="20"/>
      <x:c r="C298" s="20"/>
      <x:c r="D298" s="20"/>
      <x:c r="E298" s="52"/>
      <x:c r="F298" s="20"/>
      <x:c r="G298" s="20"/>
      <x:c r="H298" s="20"/>
      <x:c r="I298" s="20"/>
      <x:c r="J298" s="20"/>
    </x:row>
    <x:row r="299">
      <x:c r="A299" s="50"/>
      <x:c r="B299" s="20"/>
      <x:c r="C299" s="20"/>
      <x:c r="D299" s="20"/>
      <x:c r="E299" s="52"/>
      <x:c r="F299" s="20"/>
      <x:c r="G299" s="20"/>
      <x:c r="H299" s="20"/>
      <x:c r="I299" s="20"/>
      <x:c r="J299" s="20"/>
    </x:row>
    <x:row r="300">
      <x:c r="A300" s="50"/>
      <x:c r="B300" s="20"/>
      <x:c r="C300" s="20"/>
      <x:c r="D300" s="20"/>
      <x:c r="E300" s="52"/>
      <x:c r="F300" s="20"/>
      <x:c r="G300" s="20"/>
      <x:c r="H300" s="20"/>
      <x:c r="I300" s="20"/>
      <x:c r="J300" s="20"/>
    </x:row>
    <x:row r="301">
      <x:c r="A301" s="50"/>
      <x:c r="B301" s="20"/>
      <x:c r="C301" s="20"/>
      <x:c r="D301" s="20"/>
      <x:c r="E301" s="52"/>
      <x:c r="F301" s="20"/>
      <x:c r="G301" s="20"/>
      <x:c r="H301" s="20"/>
      <x:c r="I301" s="20"/>
      <x:c r="J301" s="20"/>
    </x:row>
    <x:row r="302">
      <x:c r="A302" s="50"/>
      <x:c r="B302" s="20"/>
      <x:c r="C302" s="20"/>
      <x:c r="D302" s="20"/>
      <x:c r="E302" s="52"/>
      <x:c r="F302" s="20"/>
      <x:c r="G302" s="20"/>
      <x:c r="H302" s="20"/>
      <x:c r="I302" s="20"/>
      <x:c r="J302" s="20"/>
    </x:row>
    <x:row r="303">
      <x:c r="A303" s="50"/>
      <x:c r="B303" s="20"/>
      <x:c r="C303" s="20"/>
      <x:c r="D303" s="20"/>
      <x:c r="E303" s="52"/>
      <x:c r="F303" s="20"/>
      <x:c r="G303" s="20"/>
      <x:c r="H303" s="20"/>
      <x:c r="I303" s="20"/>
      <x:c r="J303" s="20"/>
    </x:row>
    <x:row r="304">
      <x:c r="A304" s="50"/>
      <x:c r="B304" s="20"/>
      <x:c r="C304" s="20"/>
      <x:c r="D304" s="20"/>
      <x:c r="E304" s="52"/>
      <x:c r="F304" s="20"/>
      <x:c r="G304" s="20"/>
      <x:c r="H304" s="20"/>
      <x:c r="I304" s="20"/>
      <x:c r="J304" s="20"/>
    </x:row>
    <x:row r="305">
      <x:c r="A305" s="50"/>
      <x:c r="B305" s="20"/>
      <x:c r="C305" s="20"/>
      <x:c r="D305" s="20"/>
      <x:c r="E305" s="52"/>
      <x:c r="F305" s="20"/>
      <x:c r="G305" s="20"/>
      <x:c r="H305" s="20"/>
      <x:c r="I305" s="20"/>
      <x:c r="J305" s="20"/>
    </x:row>
    <x:row r="306">
      <x:c r="A306" s="50"/>
      <x:c r="B306" s="20"/>
      <x:c r="C306" s="20"/>
      <x:c r="D306" s="20"/>
      <x:c r="E306" s="52"/>
      <x:c r="F306" s="20"/>
      <x:c r="G306" s="20"/>
      <x:c r="H306" s="20"/>
      <x:c r="I306" s="20"/>
      <x:c r="J306" s="20"/>
    </x:row>
    <x:row r="307">
      <x:c r="A307" s="50"/>
      <x:c r="B307" s="20"/>
      <x:c r="C307" s="20"/>
      <x:c r="D307" s="20"/>
      <x:c r="E307" s="52"/>
      <x:c r="F307" s="20"/>
      <x:c r="G307" s="20"/>
      <x:c r="H307" s="20"/>
      <x:c r="I307" s="20"/>
      <x:c r="J307" s="20"/>
    </x:row>
    <x:row r="308">
      <x:c r="A308" s="50"/>
      <x:c r="B308" s="20"/>
      <x:c r="C308" s="20"/>
      <x:c r="D308" s="20"/>
      <x:c r="E308" s="52"/>
      <x:c r="F308" s="20"/>
      <x:c r="G308" s="20"/>
      <x:c r="H308" s="20"/>
      <x:c r="I308" s="20"/>
      <x:c r="J308" s="20"/>
    </x:row>
    <x:row r="309">
      <x:c r="A309" s="50"/>
      <x:c r="B309" s="20"/>
      <x:c r="C309" s="20"/>
      <x:c r="D309" s="20"/>
      <x:c r="E309" s="52"/>
      <x:c r="F309" s="20"/>
      <x:c r="G309" s="20"/>
      <x:c r="H309" s="20"/>
      <x:c r="I309" s="20"/>
      <x:c r="J309" s="20"/>
    </x:row>
    <x:row r="310">
      <x:c r="A310" s="50"/>
      <x:c r="B310" s="20"/>
      <x:c r="C310" s="20"/>
      <x:c r="D310" s="20"/>
      <x:c r="E310" s="52"/>
      <x:c r="F310" s="20"/>
      <x:c r="G310" s="20"/>
      <x:c r="H310" s="20"/>
      <x:c r="I310" s="20"/>
      <x:c r="J310" s="20"/>
    </x:row>
    <x:row r="311">
      <x:c r="A311" s="50"/>
      <x:c r="B311" s="20"/>
      <x:c r="C311" s="20"/>
      <x:c r="D311" s="20"/>
      <x:c r="E311" s="52"/>
      <x:c r="F311" s="20"/>
      <x:c r="G311" s="20"/>
      <x:c r="H311" s="20"/>
      <x:c r="I311" s="20"/>
      <x:c r="J311" s="20"/>
    </x:row>
    <x:row r="312">
      <x:c r="A312" s="50"/>
      <x:c r="B312" s="20"/>
      <x:c r="C312" s="20"/>
      <x:c r="D312" s="20"/>
      <x:c r="E312" s="52"/>
      <x:c r="F312" s="20"/>
      <x:c r="G312" s="20"/>
      <x:c r="H312" s="20"/>
      <x:c r="I312" s="20"/>
      <x:c r="J312" s="20"/>
    </x:row>
    <x:row r="313">
      <x:c r="A313" s="50"/>
      <x:c r="B313" s="20"/>
      <x:c r="C313" s="20"/>
      <x:c r="D313" s="20"/>
      <x:c r="E313" s="52"/>
      <x:c r="F313" s="20"/>
      <x:c r="G313" s="20"/>
      <x:c r="H313" s="20"/>
      <x:c r="I313" s="20"/>
      <x:c r="J313" s="20"/>
    </x:row>
    <x:row r="314">
      <x:c r="A314" s="50"/>
      <x:c r="B314" s="20"/>
      <x:c r="C314" s="20"/>
      <x:c r="D314" s="20"/>
      <x:c r="E314" s="52"/>
      <x:c r="F314" s="20"/>
      <x:c r="G314" s="20"/>
      <x:c r="H314" s="20"/>
      <x:c r="I314" s="20"/>
      <x:c r="J314" s="20"/>
    </x:row>
    <x:row r="315">
      <x:c r="A315" s="50"/>
      <x:c r="B315" s="20"/>
      <x:c r="C315" s="20"/>
      <x:c r="D315" s="20"/>
      <x:c r="E315" s="52"/>
      <x:c r="F315" s="20"/>
      <x:c r="G315" s="20"/>
      <x:c r="H315" s="20"/>
      <x:c r="I315" s="20"/>
      <x:c r="J315" s="20"/>
    </x:row>
    <x:row r="316">
      <x:c r="A316" s="50"/>
      <x:c r="B316" s="20"/>
      <x:c r="C316" s="20"/>
      <x:c r="D316" s="20"/>
      <x:c r="E316" s="52"/>
      <x:c r="F316" s="20"/>
      <x:c r="G316" s="20"/>
      <x:c r="H316" s="20"/>
      <x:c r="I316" s="20"/>
      <x:c r="J316" s="20"/>
    </x:row>
    <x:row r="317">
      <x:c r="A317" s="50"/>
      <x:c r="B317" s="20"/>
      <x:c r="C317" s="20"/>
      <x:c r="D317" s="20"/>
      <x:c r="E317" s="52"/>
      <x:c r="F317" s="20"/>
      <x:c r="G317" s="20"/>
      <x:c r="H317" s="20"/>
      <x:c r="I317" s="20"/>
      <x:c r="J317" s="20"/>
    </x:row>
    <x:row r="318">
      <x:c r="A318" s="50"/>
      <x:c r="B318" s="20"/>
      <x:c r="C318" s="20"/>
      <x:c r="D318" s="20"/>
      <x:c r="E318" s="52"/>
      <x:c r="F318" s="20"/>
      <x:c r="G318" s="20"/>
      <x:c r="H318" s="20"/>
      <x:c r="I318" s="20"/>
      <x:c r="J318" s="20"/>
    </x:row>
    <x:row r="319">
      <x:c r="A319" s="50"/>
      <x:c r="B319" s="20"/>
      <x:c r="C319" s="20"/>
      <x:c r="D319" s="20"/>
      <x:c r="E319" s="52"/>
      <x:c r="F319" s="20"/>
      <x:c r="G319" s="20"/>
      <x:c r="H319" s="20"/>
      <x:c r="I319" s="20"/>
      <x:c r="J319" s="20"/>
    </x:row>
    <x:row r="320">
      <x:c r="A320" s="50"/>
      <x:c r="B320" s="20"/>
      <x:c r="C320" s="20"/>
      <x:c r="D320" s="20"/>
      <x:c r="E320" s="52"/>
      <x:c r="F320" s="20"/>
      <x:c r="G320" s="20"/>
      <x:c r="H320" s="20"/>
      <x:c r="I320" s="20"/>
      <x:c r="J320" s="20"/>
    </x:row>
    <x:row r="321">
      <x:c r="A321" s="50"/>
      <x:c r="B321" s="20"/>
      <x:c r="C321" s="20"/>
      <x:c r="D321" s="20"/>
      <x:c r="E321" s="52"/>
      <x:c r="F321" s="20"/>
      <x:c r="G321" s="20"/>
      <x:c r="H321" s="20"/>
      <x:c r="I321" s="20"/>
      <x:c r="J321" s="20"/>
    </x:row>
    <x:row r="322">
      <x:c r="A322" s="50"/>
      <x:c r="B322" s="20"/>
      <x:c r="C322" s="20"/>
      <x:c r="D322" s="20"/>
      <x:c r="E322" s="52"/>
      <x:c r="F322" s="20"/>
      <x:c r="G322" s="20"/>
      <x:c r="H322" s="20"/>
      <x:c r="I322" s="20"/>
      <x:c r="J322" s="20"/>
    </x:row>
    <x:row r="323">
      <x:c r="A323" s="50"/>
      <x:c r="B323" s="20"/>
      <x:c r="C323" s="20"/>
      <x:c r="D323" s="20"/>
      <x:c r="E323" s="52"/>
      <x:c r="F323" s="20"/>
      <x:c r="G323" s="20"/>
      <x:c r="H323" s="20"/>
      <x:c r="I323" s="20"/>
      <x:c r="J323" s="20"/>
    </x:row>
    <x:row r="324">
      <x:c r="A324" s="50"/>
      <x:c r="B324" s="20"/>
      <x:c r="C324" s="20"/>
      <x:c r="D324" s="20"/>
      <x:c r="E324" s="52"/>
      <x:c r="F324" s="20"/>
      <x:c r="G324" s="20"/>
      <x:c r="H324" s="20"/>
      <x:c r="I324" s="20"/>
      <x:c r="J324" s="20"/>
    </x:row>
    <x:row r="325">
      <x:c r="A325" s="50"/>
      <x:c r="B325" s="20"/>
      <x:c r="C325" s="20"/>
      <x:c r="D325" s="20"/>
      <x:c r="E325" s="52"/>
      <x:c r="F325" s="20"/>
      <x:c r="G325" s="20"/>
      <x:c r="H325" s="20"/>
      <x:c r="I325" s="20"/>
      <x:c r="J325" s="20"/>
    </x:row>
    <x:row r="326">
      <x:c r="A326" s="50"/>
      <x:c r="B326" s="20"/>
      <x:c r="C326" s="20"/>
      <x:c r="D326" s="20"/>
      <x:c r="E326" s="52"/>
      <x:c r="F326" s="20"/>
      <x:c r="G326" s="20"/>
      <x:c r="H326" s="20"/>
      <x:c r="I326" s="20"/>
      <x:c r="J326" s="20"/>
    </x:row>
    <x:row r="327">
      <x:c r="A327" s="50"/>
      <x:c r="B327" s="20"/>
      <x:c r="C327" s="20"/>
      <x:c r="D327" s="20"/>
      <x:c r="E327" s="52"/>
      <x:c r="F327" s="20"/>
      <x:c r="G327" s="20"/>
      <x:c r="H327" s="20"/>
      <x:c r="I327" s="20"/>
      <x:c r="J327" s="20"/>
    </x:row>
    <x:row r="328">
      <x:c r="A328" s="50"/>
      <x:c r="B328" s="20"/>
      <x:c r="C328" s="20"/>
      <x:c r="D328" s="20"/>
      <x:c r="E328" s="52"/>
      <x:c r="F328" s="20"/>
      <x:c r="G328" s="20"/>
      <x:c r="H328" s="20"/>
      <x:c r="I328" s="20"/>
      <x:c r="J328" s="20"/>
    </x:row>
    <x:row r="329">
      <x:c r="A329" s="50"/>
      <x:c r="B329" s="20"/>
      <x:c r="C329" s="20"/>
      <x:c r="D329" s="20"/>
      <x:c r="E329" s="52"/>
      <x:c r="F329" s="20"/>
      <x:c r="G329" s="20"/>
      <x:c r="H329" s="20"/>
      <x:c r="I329" s="20"/>
      <x:c r="J329" s="20"/>
    </x:row>
    <x:row r="330">
      <x:c r="A330" s="50"/>
      <x:c r="B330" s="20"/>
      <x:c r="C330" s="20"/>
      <x:c r="D330" s="20"/>
      <x:c r="E330" s="52"/>
      <x:c r="F330" s="20"/>
      <x:c r="G330" s="20"/>
      <x:c r="H330" s="20"/>
      <x:c r="I330" s="20"/>
      <x:c r="J330" s="20"/>
    </x:row>
    <x:row r="331">
      <x:c r="A331" s="50"/>
      <x:c r="B331" s="20"/>
      <x:c r="C331" s="20"/>
      <x:c r="D331" s="20"/>
      <x:c r="E331" s="52"/>
      <x:c r="F331" s="20"/>
      <x:c r="G331" s="20"/>
      <x:c r="H331" s="20"/>
      <x:c r="I331" s="20"/>
      <x:c r="J331" s="20"/>
    </x:row>
    <x:row r="332">
      <x:c r="A332" s="50"/>
      <x:c r="B332" s="20"/>
      <x:c r="C332" s="20"/>
      <x:c r="D332" s="20"/>
      <x:c r="E332" s="52"/>
      <x:c r="F332" s="20"/>
      <x:c r="G332" s="20"/>
      <x:c r="H332" s="20"/>
      <x:c r="I332" s="20"/>
      <x:c r="J332" s="20"/>
    </x:row>
    <x:row r="333">
      <x:c r="A333" s="50"/>
      <x:c r="B333" s="20"/>
      <x:c r="C333" s="20"/>
      <x:c r="D333" s="20"/>
      <x:c r="E333" s="52"/>
      <x:c r="F333" s="20"/>
      <x:c r="G333" s="20"/>
      <x:c r="H333" s="20"/>
      <x:c r="I333" s="20"/>
      <x:c r="J333" s="20"/>
    </x:row>
    <x:row r="334">
      <x:c r="A334" s="50"/>
      <x:c r="B334" s="20"/>
      <x:c r="C334" s="20"/>
      <x:c r="D334" s="20"/>
      <x:c r="E334" s="52"/>
      <x:c r="F334" s="20"/>
      <x:c r="G334" s="20"/>
      <x:c r="H334" s="20"/>
      <x:c r="I334" s="20"/>
      <x:c r="J334" s="20"/>
    </x:row>
    <x:row r="335">
      <x:c r="A335" s="50"/>
      <x:c r="B335" s="20"/>
      <x:c r="C335" s="20"/>
      <x:c r="D335" s="20"/>
      <x:c r="E335" s="52"/>
      <x:c r="F335" s="20"/>
      <x:c r="G335" s="20"/>
      <x:c r="H335" s="20"/>
      <x:c r="I335" s="20"/>
      <x:c r="J335" s="20"/>
    </x:row>
    <x:row r="336">
      <x:c r="A336" s="50"/>
      <x:c r="B336" s="20"/>
      <x:c r="C336" s="20"/>
      <x:c r="D336" s="20"/>
      <x:c r="E336" s="52"/>
      <x:c r="F336" s="20"/>
      <x:c r="G336" s="20"/>
      <x:c r="H336" s="20"/>
      <x:c r="I336" s="20"/>
      <x:c r="J336" s="20"/>
    </x:row>
    <x:row r="337">
      <x:c r="A337" s="50"/>
      <x:c r="B337" s="20"/>
      <x:c r="C337" s="20"/>
      <x:c r="D337" s="20"/>
      <x:c r="E337" s="52"/>
      <x:c r="F337" s="20"/>
      <x:c r="G337" s="20"/>
      <x:c r="H337" s="20"/>
      <x:c r="I337" s="20"/>
      <x:c r="J337" s="20"/>
    </x:row>
    <x:row r="338">
      <x:c r="A338" s="50"/>
      <x:c r="B338" s="20"/>
      <x:c r="C338" s="20"/>
      <x:c r="D338" s="20"/>
      <x:c r="E338" s="52"/>
      <x:c r="F338" s="20"/>
      <x:c r="G338" s="20"/>
      <x:c r="H338" s="20"/>
      <x:c r="I338" s="20"/>
      <x:c r="J338" s="20"/>
    </x:row>
    <x:row r="339">
      <x:c r="A339" s="50"/>
      <x:c r="B339" s="20"/>
      <x:c r="C339" s="20"/>
      <x:c r="D339" s="20"/>
      <x:c r="E339" s="52"/>
      <x:c r="F339" s="20"/>
      <x:c r="G339" s="20"/>
      <x:c r="H339" s="20"/>
      <x:c r="I339" s="20"/>
      <x:c r="J339" s="20"/>
    </x:row>
    <x:row r="340">
      <x:c r="A340" s="50"/>
      <x:c r="B340" s="20"/>
      <x:c r="C340" s="20"/>
      <x:c r="D340" s="20"/>
      <x:c r="E340" s="52"/>
      <x:c r="F340" s="20"/>
      <x:c r="G340" s="20"/>
      <x:c r="H340" s="20"/>
      <x:c r="I340" s="20"/>
      <x:c r="J340" s="20"/>
    </x:row>
    <x:row r="341">
      <x:c r="A341" s="50"/>
      <x:c r="B341" s="20"/>
      <x:c r="C341" s="20"/>
      <x:c r="D341" s="20"/>
      <x:c r="E341" s="52"/>
      <x:c r="F341" s="20"/>
      <x:c r="G341" s="20"/>
      <x:c r="H341" s="20"/>
      <x:c r="I341" s="20"/>
      <x:c r="J341" s="20"/>
    </x:row>
    <x:row r="342">
      <x:c r="A342" s="50"/>
      <x:c r="B342" s="20"/>
      <x:c r="C342" s="20"/>
      <x:c r="D342" s="20"/>
      <x:c r="E342" s="52"/>
      <x:c r="F342" s="20"/>
      <x:c r="G342" s="20"/>
      <x:c r="H342" s="20"/>
      <x:c r="I342" s="20"/>
      <x:c r="J342" s="20"/>
    </x:row>
    <x:row r="343">
      <x:c r="A343" s="50"/>
      <x:c r="B343" s="20"/>
      <x:c r="C343" s="20"/>
      <x:c r="D343" s="20"/>
      <x:c r="E343" s="52"/>
      <x:c r="F343" s="20"/>
      <x:c r="G343" s="20"/>
      <x:c r="H343" s="20"/>
      <x:c r="I343" s="20"/>
      <x:c r="J343" s="20"/>
    </x:row>
    <x:row r="344">
      <x:c r="A344" s="50"/>
      <x:c r="B344" s="20"/>
      <x:c r="C344" s="20"/>
      <x:c r="D344" s="20"/>
      <x:c r="E344" s="52"/>
      <x:c r="F344" s="20"/>
      <x:c r="G344" s="20"/>
      <x:c r="H344" s="20"/>
      <x:c r="I344" s="20"/>
      <x:c r="J344" s="20"/>
    </x:row>
    <x:row r="345">
      <x:c r="A345" s="50"/>
      <x:c r="B345" s="20"/>
      <x:c r="C345" s="20"/>
      <x:c r="D345" s="20"/>
      <x:c r="E345" s="52"/>
      <x:c r="F345" s="20"/>
      <x:c r="G345" s="20"/>
      <x:c r="H345" s="20"/>
      <x:c r="I345" s="20"/>
      <x:c r="J345" s="20"/>
    </x:row>
    <x:row r="346">
      <x:c r="A346" s="50"/>
      <x:c r="B346" s="20"/>
      <x:c r="C346" s="20"/>
      <x:c r="D346" s="20"/>
      <x:c r="E346" s="52"/>
      <x:c r="F346" s="20"/>
      <x:c r="G346" s="20"/>
      <x:c r="H346" s="20"/>
      <x:c r="I346" s="20"/>
      <x:c r="J346" s="20"/>
    </x:row>
    <x:row r="347">
      <x:c r="A347" s="50"/>
      <x:c r="B347" s="20"/>
      <x:c r="C347" s="20"/>
      <x:c r="D347" s="20"/>
      <x:c r="E347" s="52"/>
      <x:c r="F347" s="20"/>
      <x:c r="G347" s="20"/>
      <x:c r="H347" s="20"/>
      <x:c r="I347" s="20"/>
      <x:c r="J347" s="20"/>
    </x:row>
    <x:row r="348">
      <x:c r="A348" s="50"/>
      <x:c r="B348" s="20"/>
      <x:c r="C348" s="20"/>
      <x:c r="D348" s="20"/>
      <x:c r="E348" s="52"/>
      <x:c r="F348" s="20"/>
      <x:c r="G348" s="20"/>
      <x:c r="H348" s="20"/>
      <x:c r="I348" s="20"/>
      <x:c r="J348" s="20"/>
    </x:row>
    <x:row r="349">
      <x:c r="A349" s="50"/>
      <x:c r="B349" s="20"/>
      <x:c r="C349" s="20"/>
      <x:c r="D349" s="20"/>
      <x:c r="E349" s="52"/>
      <x:c r="F349" s="20"/>
      <x:c r="G349" s="20"/>
      <x:c r="H349" s="20"/>
      <x:c r="I349" s="20"/>
      <x:c r="J349" s="20"/>
    </x:row>
    <x:row r="350">
      <x:c r="A350" s="50"/>
      <x:c r="B350" s="20"/>
      <x:c r="C350" s="20"/>
      <x:c r="D350" s="20"/>
      <x:c r="E350" s="52"/>
      <x:c r="F350" s="20"/>
      <x:c r="G350" s="20"/>
      <x:c r="H350" s="20"/>
      <x:c r="I350" s="20"/>
      <x:c r="J350" s="20"/>
    </x:row>
    <x:row r="351">
      <x:c r="A351" s="50"/>
      <x:c r="B351" s="20"/>
      <x:c r="C351" s="20"/>
      <x:c r="D351" s="20"/>
      <x:c r="E351" s="52"/>
      <x:c r="F351" s="20"/>
      <x:c r="G351" s="20"/>
      <x:c r="H351" s="20"/>
      <x:c r="I351" s="20"/>
      <x:c r="J351" s="20"/>
    </x:row>
    <x:row r="352">
      <x:c r="A352" s="50"/>
      <x:c r="B352" s="20"/>
      <x:c r="C352" s="20"/>
      <x:c r="D352" s="20"/>
      <x:c r="E352" s="52"/>
      <x:c r="F352" s="20"/>
      <x:c r="G352" s="20"/>
      <x:c r="H352" s="20"/>
      <x:c r="I352" s="20"/>
      <x:c r="J352" s="20"/>
    </x:row>
    <x:row r="353">
      <x:c r="A353" s="50"/>
      <x:c r="B353" s="20"/>
      <x:c r="C353" s="20"/>
      <x:c r="D353" s="20"/>
      <x:c r="E353" s="52"/>
      <x:c r="F353" s="20"/>
      <x:c r="G353" s="20"/>
      <x:c r="H353" s="20"/>
      <x:c r="I353" s="20"/>
      <x:c r="J353" s="20"/>
    </x:row>
    <x:row r="354">
      <x:c r="A354" s="50"/>
      <x:c r="B354" s="20"/>
      <x:c r="C354" s="20"/>
      <x:c r="D354" s="20"/>
      <x:c r="E354" s="52"/>
      <x:c r="F354" s="20"/>
      <x:c r="G354" s="20"/>
      <x:c r="H354" s="20"/>
      <x:c r="I354" s="20"/>
      <x:c r="J354" s="20"/>
    </x:row>
    <x:row r="355">
      <x:c r="A355" s="50"/>
      <x:c r="B355" s="20"/>
      <x:c r="C355" s="20"/>
      <x:c r="D355" s="20"/>
      <x:c r="E355" s="52"/>
      <x:c r="F355" s="20"/>
      <x:c r="G355" s="20"/>
      <x:c r="H355" s="20"/>
      <x:c r="I355" s="20"/>
      <x:c r="J355" s="20"/>
    </x:row>
    <x:row r="356">
      <x:c r="A356" s="50"/>
      <x:c r="B356" s="20"/>
      <x:c r="C356" s="20"/>
      <x:c r="D356" s="20"/>
      <x:c r="E356" s="52"/>
      <x:c r="F356" s="20"/>
      <x:c r="G356" s="20"/>
      <x:c r="H356" s="20"/>
      <x:c r="I356" s="20"/>
      <x:c r="J356" s="20"/>
    </x:row>
    <x:row r="357">
      <x:c r="A357" s="50"/>
      <x:c r="B357" s="20"/>
      <x:c r="C357" s="20"/>
      <x:c r="D357" s="20"/>
      <x:c r="E357" s="52"/>
      <x:c r="F357" s="20"/>
      <x:c r="G357" s="20"/>
      <x:c r="H357" s="20"/>
      <x:c r="I357" s="20"/>
      <x:c r="J357" s="20"/>
    </x:row>
    <x:row r="358">
      <x:c r="A358" s="50"/>
      <x:c r="B358" s="20"/>
      <x:c r="C358" s="20"/>
      <x:c r="D358" s="20"/>
      <x:c r="E358" s="52"/>
      <x:c r="F358" s="20"/>
      <x:c r="G358" s="20"/>
      <x:c r="H358" s="20"/>
      <x:c r="I358" s="20"/>
      <x:c r="J358" s="20"/>
    </x:row>
    <x:row r="359">
      <x:c r="A359" s="50"/>
      <x:c r="B359" s="20"/>
      <x:c r="C359" s="20"/>
      <x:c r="D359" s="20"/>
      <x:c r="E359" s="52"/>
      <x:c r="F359" s="20"/>
      <x:c r="G359" s="20"/>
      <x:c r="H359" s="20"/>
      <x:c r="I359" s="20"/>
      <x:c r="J359" s="20"/>
    </x:row>
    <x:row r="360">
      <x:c r="A360" s="50"/>
      <x:c r="B360" s="20"/>
      <x:c r="C360" s="20"/>
      <x:c r="D360" s="20"/>
      <x:c r="E360" s="52"/>
      <x:c r="F360" s="20"/>
      <x:c r="G360" s="20"/>
      <x:c r="H360" s="20"/>
      <x:c r="I360" s="20"/>
      <x:c r="J360" s="20"/>
    </x:row>
    <x:row r="361">
      <x:c r="A361" s="50"/>
      <x:c r="B361" s="20"/>
      <x:c r="C361" s="20"/>
      <x:c r="D361" s="20"/>
      <x:c r="E361" s="52"/>
      <x:c r="F361" s="20"/>
      <x:c r="G361" s="20"/>
      <x:c r="H361" s="20"/>
      <x:c r="I361" s="20"/>
      <x:c r="J361" s="20"/>
    </x:row>
    <x:row r="362">
      <x:c r="A362" s="50"/>
      <x:c r="B362" s="20"/>
      <x:c r="C362" s="20"/>
      <x:c r="D362" s="20"/>
      <x:c r="E362" s="52"/>
      <x:c r="F362" s="20"/>
      <x:c r="G362" s="20"/>
      <x:c r="H362" s="20"/>
      <x:c r="I362" s="20"/>
      <x:c r="J362" s="20"/>
    </x:row>
    <x:row r="363">
      <x:c r="A363" s="50"/>
      <x:c r="B363" s="20"/>
      <x:c r="C363" s="20"/>
      <x:c r="D363" s="20"/>
      <x:c r="E363" s="52"/>
      <x:c r="F363" s="20"/>
      <x:c r="G363" s="20"/>
      <x:c r="H363" s="20"/>
      <x:c r="I363" s="20"/>
      <x:c r="J363" s="20"/>
    </x:row>
    <x:row r="364">
      <x:c r="A364" s="50"/>
      <x:c r="B364" s="20"/>
      <x:c r="C364" s="20"/>
      <x:c r="D364" s="20"/>
      <x:c r="E364" s="52"/>
      <x:c r="F364" s="20"/>
      <x:c r="G364" s="20"/>
      <x:c r="H364" s="20"/>
      <x:c r="I364" s="20"/>
      <x:c r="J364" s="20"/>
    </x:row>
    <x:row r="365">
      <x:c r="A365" s="50"/>
      <x:c r="B365" s="20"/>
      <x:c r="C365" s="20"/>
      <x:c r="D365" s="20"/>
      <x:c r="E365" s="52"/>
      <x:c r="F365" s="20"/>
      <x:c r="G365" s="20"/>
      <x:c r="H365" s="20"/>
      <x:c r="I365" s="20"/>
      <x:c r="J365" s="20"/>
    </x:row>
    <x:row r="366">
      <x:c r="A366" s="50"/>
      <x:c r="B366" s="20"/>
      <x:c r="C366" s="20"/>
      <x:c r="D366" s="20"/>
      <x:c r="E366" s="52"/>
      <x:c r="F366" s="20"/>
      <x:c r="G366" s="20"/>
      <x:c r="H366" s="20"/>
      <x:c r="I366" s="20"/>
      <x:c r="J366" s="20"/>
    </x:row>
    <x:row r="367">
      <x:c r="A367" s="50"/>
      <x:c r="B367" s="20"/>
      <x:c r="C367" s="20"/>
      <x:c r="D367" s="20"/>
      <x:c r="E367" s="52"/>
      <x:c r="F367" s="20"/>
      <x:c r="G367" s="20"/>
      <x:c r="H367" s="20"/>
      <x:c r="I367" s="20"/>
      <x:c r="J367" s="20"/>
    </x:row>
    <x:row r="368">
      <x:c r="A368" s="50"/>
      <x:c r="B368" s="20"/>
      <x:c r="C368" s="20"/>
      <x:c r="D368" s="20"/>
      <x:c r="E368" s="52"/>
      <x:c r="F368" s="20"/>
      <x:c r="G368" s="20"/>
      <x:c r="H368" s="20"/>
      <x:c r="I368" s="20"/>
      <x:c r="J368" s="20"/>
    </x:row>
    <x:row r="369">
      <x:c r="A369" s="50"/>
      <x:c r="B369" s="20"/>
      <x:c r="C369" s="20"/>
      <x:c r="D369" s="20"/>
      <x:c r="E369" s="52"/>
      <x:c r="F369" s="20"/>
      <x:c r="G369" s="20"/>
      <x:c r="H369" s="20"/>
      <x:c r="I369" s="20"/>
      <x:c r="J369" s="20"/>
    </x:row>
    <x:row r="370">
      <x:c r="A370" s="50"/>
      <x:c r="B370" s="20"/>
      <x:c r="C370" s="20"/>
      <x:c r="D370" s="20"/>
      <x:c r="E370" s="52"/>
      <x:c r="F370" s="20"/>
      <x:c r="G370" s="20"/>
      <x:c r="H370" s="20"/>
      <x:c r="I370" s="20"/>
      <x:c r="J370" s="20"/>
    </x:row>
    <x:row r="371">
      <x:c r="A371" s="50"/>
      <x:c r="B371" s="20"/>
      <x:c r="C371" s="20"/>
      <x:c r="D371" s="20"/>
      <x:c r="E371" s="52"/>
      <x:c r="F371" s="20"/>
      <x:c r="G371" s="20"/>
      <x:c r="H371" s="20"/>
      <x:c r="I371" s="20"/>
      <x:c r="J371" s="20"/>
    </x:row>
    <x:row r="372">
      <x:c r="A372" s="50"/>
      <x:c r="B372" s="20"/>
      <x:c r="C372" s="20"/>
      <x:c r="D372" s="20"/>
      <x:c r="E372" s="52"/>
      <x:c r="F372" s="20"/>
      <x:c r="G372" s="20"/>
      <x:c r="H372" s="20"/>
      <x:c r="I372" s="20"/>
      <x:c r="J372" s="20"/>
    </x:row>
    <x:row r="373">
      <x:c r="A373" s="50"/>
      <x:c r="B373" s="20"/>
      <x:c r="C373" s="20"/>
      <x:c r="D373" s="20"/>
      <x:c r="E373" s="52"/>
      <x:c r="F373" s="20"/>
      <x:c r="G373" s="20"/>
      <x:c r="H373" s="20"/>
      <x:c r="I373" s="20"/>
      <x:c r="J373" s="20"/>
    </x:row>
    <x:row r="374">
      <x:c r="A374" s="50"/>
      <x:c r="B374" s="20"/>
      <x:c r="C374" s="20"/>
      <x:c r="D374" s="20"/>
      <x:c r="E374" s="52"/>
      <x:c r="F374" s="20"/>
      <x:c r="G374" s="20"/>
      <x:c r="H374" s="20"/>
      <x:c r="I374" s="20"/>
      <x:c r="J374" s="20"/>
    </x:row>
    <x:row r="375">
      <x:c r="A375" s="50"/>
      <x:c r="B375" s="20"/>
      <x:c r="C375" s="20"/>
      <x:c r="D375" s="20"/>
      <x:c r="E375" s="52"/>
      <x:c r="F375" s="20"/>
      <x:c r="G375" s="20"/>
      <x:c r="H375" s="20"/>
      <x:c r="I375" s="20"/>
      <x:c r="J375" s="20"/>
    </x:row>
    <x:row r="376">
      <x:c r="A376" s="50"/>
      <x:c r="B376" s="20"/>
      <x:c r="C376" s="20"/>
      <x:c r="D376" s="20"/>
      <x:c r="E376" s="52"/>
      <x:c r="F376" s="20"/>
      <x:c r="G376" s="20"/>
      <x:c r="H376" s="20"/>
      <x:c r="I376" s="20"/>
      <x:c r="J376" s="20"/>
    </x:row>
    <x:row r="377">
      <x:c r="A377" s="50"/>
      <x:c r="B377" s="20"/>
      <x:c r="C377" s="20"/>
      <x:c r="D377" s="20"/>
      <x:c r="E377" s="52"/>
      <x:c r="F377" s="20"/>
      <x:c r="G377" s="20"/>
      <x:c r="H377" s="20"/>
      <x:c r="I377" s="20"/>
      <x:c r="J377" s="20"/>
    </x:row>
    <x:row r="378">
      <x:c r="A378" s="50"/>
      <x:c r="B378" s="20"/>
      <x:c r="C378" s="20"/>
      <x:c r="D378" s="20"/>
      <x:c r="E378" s="52"/>
      <x:c r="F378" s="20"/>
      <x:c r="G378" s="20"/>
      <x:c r="H378" s="20"/>
      <x:c r="I378" s="20"/>
      <x:c r="J378" s="20"/>
    </x:row>
    <x:row r="379">
      <x:c r="A379" s="50"/>
      <x:c r="B379" s="20"/>
      <x:c r="C379" s="20"/>
      <x:c r="D379" s="20"/>
      <x:c r="E379" s="52"/>
      <x:c r="F379" s="20"/>
      <x:c r="G379" s="20"/>
      <x:c r="H379" s="20"/>
      <x:c r="I379" s="20"/>
      <x:c r="J379" s="20"/>
    </x:row>
    <x:row r="380">
      <x:c r="A380" s="50"/>
      <x:c r="B380" s="20"/>
      <x:c r="C380" s="20"/>
      <x:c r="D380" s="20"/>
      <x:c r="E380" s="52"/>
      <x:c r="F380" s="20"/>
      <x:c r="G380" s="20"/>
      <x:c r="H380" s="20"/>
      <x:c r="I380" s="20"/>
      <x:c r="J380" s="20"/>
    </x:row>
    <x:row r="381">
      <x:c r="A381" s="50"/>
      <x:c r="B381" s="20"/>
      <x:c r="C381" s="20"/>
      <x:c r="D381" s="20"/>
      <x:c r="E381" s="52"/>
      <x:c r="F381" s="20"/>
      <x:c r="G381" s="20"/>
      <x:c r="H381" s="20"/>
      <x:c r="I381" s="20"/>
      <x:c r="J381" s="20"/>
    </x:row>
    <x:row r="382">
      <x:c r="A382" s="50"/>
      <x:c r="B382" s="20"/>
      <x:c r="C382" s="20"/>
      <x:c r="D382" s="20"/>
      <x:c r="E382" s="52"/>
      <x:c r="F382" s="20"/>
      <x:c r="G382" s="20"/>
      <x:c r="H382" s="20"/>
      <x:c r="I382" s="20"/>
      <x:c r="J382" s="20"/>
    </x:row>
    <x:row r="383">
      <x:c r="A383" s="50"/>
      <x:c r="B383" s="20"/>
      <x:c r="C383" s="20"/>
      <x:c r="D383" s="20"/>
      <x:c r="E383" s="52"/>
      <x:c r="F383" s="20"/>
      <x:c r="G383" s="20"/>
      <x:c r="H383" s="20"/>
      <x:c r="I383" s="20"/>
      <x:c r="J383" s="20"/>
    </x:row>
    <x:row r="384">
      <x:c r="A384" s="50"/>
      <x:c r="B384" s="20"/>
      <x:c r="C384" s="20"/>
      <x:c r="D384" s="20"/>
      <x:c r="E384" s="52"/>
      <x:c r="F384" s="20"/>
      <x:c r="G384" s="20"/>
      <x:c r="H384" s="20"/>
      <x:c r="I384" s="20"/>
      <x:c r="J384" s="20"/>
    </x:row>
    <x:row r="385">
      <x:c r="A385" s="50"/>
      <x:c r="B385" s="20"/>
      <x:c r="C385" s="20"/>
      <x:c r="D385" s="20"/>
      <x:c r="E385" s="52"/>
      <x:c r="F385" s="20"/>
      <x:c r="G385" s="20"/>
      <x:c r="H385" s="20"/>
      <x:c r="I385" s="20"/>
      <x:c r="J385" s="20"/>
    </x:row>
    <x:row r="386">
      <x:c r="A386" s="50"/>
      <x:c r="B386" s="20"/>
      <x:c r="C386" s="20"/>
      <x:c r="D386" s="20"/>
      <x:c r="E386" s="52"/>
      <x:c r="F386" s="20"/>
      <x:c r="G386" s="20"/>
      <x:c r="H386" s="20"/>
      <x:c r="I386" s="20"/>
      <x:c r="J386" s="20"/>
    </x:row>
    <x:row r="387">
      <x:c r="A387" s="50"/>
      <x:c r="B387" s="20"/>
      <x:c r="C387" s="20"/>
      <x:c r="D387" s="20"/>
      <x:c r="E387" s="52"/>
      <x:c r="F387" s="20"/>
      <x:c r="G387" s="20"/>
      <x:c r="H387" s="20"/>
      <x:c r="I387" s="20"/>
      <x:c r="J387" s="20"/>
    </x:row>
    <x:row r="388">
      <x:c r="A388" s="50"/>
      <x:c r="B388" s="20"/>
      <x:c r="C388" s="20"/>
      <x:c r="D388" s="20"/>
      <x:c r="E388" s="52"/>
      <x:c r="F388" s="20"/>
      <x:c r="G388" s="20"/>
      <x:c r="H388" s="20"/>
      <x:c r="I388" s="20"/>
      <x:c r="J388" s="20"/>
    </x:row>
    <x:row r="389">
      <x:c r="A389" s="50"/>
      <x:c r="B389" s="20"/>
      <x:c r="C389" s="20"/>
      <x:c r="D389" s="20"/>
      <x:c r="E389" s="52"/>
      <x:c r="F389" s="20"/>
      <x:c r="G389" s="20"/>
      <x:c r="H389" s="20"/>
      <x:c r="I389" s="20"/>
      <x:c r="J389" s="20"/>
    </x:row>
    <x:row r="390">
      <x:c r="A390" s="50"/>
      <x:c r="B390" s="20"/>
      <x:c r="C390" s="20"/>
      <x:c r="D390" s="20"/>
      <x:c r="E390" s="52"/>
      <x:c r="F390" s="20"/>
      <x:c r="G390" s="20"/>
      <x:c r="H390" s="20"/>
      <x:c r="I390" s="20"/>
      <x:c r="J390" s="20"/>
    </x:row>
    <x:row r="391">
      <x:c r="A391" s="50"/>
      <x:c r="B391" s="20"/>
      <x:c r="C391" s="20"/>
      <x:c r="D391" s="20"/>
      <x:c r="E391" s="52"/>
      <x:c r="F391" s="20"/>
      <x:c r="G391" s="20"/>
      <x:c r="H391" s="20"/>
      <x:c r="I391" s="20"/>
      <x:c r="J391" s="20"/>
    </x:row>
    <x:row r="392">
      <x:c r="A392" s="50"/>
      <x:c r="B392" s="20"/>
      <x:c r="C392" s="20"/>
      <x:c r="D392" s="20"/>
      <x:c r="E392" s="52"/>
      <x:c r="F392" s="20"/>
      <x:c r="G392" s="20"/>
      <x:c r="H392" s="20"/>
      <x:c r="I392" s="20"/>
      <x:c r="J392" s="20"/>
    </x:row>
    <x:row r="393">
      <x:c r="A393" s="50"/>
      <x:c r="B393" s="20"/>
      <x:c r="C393" s="20"/>
      <x:c r="D393" s="20"/>
      <x:c r="E393" s="52"/>
      <x:c r="F393" s="20"/>
      <x:c r="G393" s="20"/>
      <x:c r="H393" s="20"/>
      <x:c r="I393" s="20"/>
      <x:c r="J393" s="20"/>
    </x:row>
    <x:row r="394">
      <x:c r="A394" s="50"/>
      <x:c r="B394" s="20"/>
      <x:c r="C394" s="20"/>
      <x:c r="D394" s="20"/>
      <x:c r="E394" s="52"/>
      <x:c r="F394" s="20"/>
      <x:c r="G394" s="20"/>
      <x:c r="H394" s="20"/>
      <x:c r="I394" s="20"/>
      <x:c r="J394" s="20"/>
    </x:row>
    <x:row r="395">
      <x:c r="A395" s="50"/>
      <x:c r="B395" s="20"/>
      <x:c r="C395" s="20"/>
      <x:c r="D395" s="20"/>
      <x:c r="E395" s="52"/>
      <x:c r="F395" s="20"/>
      <x:c r="G395" s="20"/>
      <x:c r="H395" s="20"/>
      <x:c r="I395" s="20"/>
      <x:c r="J395" s="20"/>
    </x:row>
    <x:row r="396">
      <x:c r="A396" s="50"/>
      <x:c r="B396" s="20"/>
      <x:c r="C396" s="20"/>
      <x:c r="D396" s="20"/>
      <x:c r="E396" s="52"/>
      <x:c r="F396" s="20"/>
      <x:c r="G396" s="20"/>
      <x:c r="H396" s="20"/>
      <x:c r="I396" s="20"/>
      <x:c r="J396" s="20"/>
    </x:row>
    <x:row r="397">
      <x:c r="A397" s="50"/>
      <x:c r="B397" s="20"/>
      <x:c r="C397" s="20"/>
      <x:c r="D397" s="20"/>
      <x:c r="E397" s="52"/>
      <x:c r="F397" s="20"/>
      <x:c r="G397" s="20"/>
      <x:c r="H397" s="20"/>
      <x:c r="I397" s="20"/>
      <x:c r="J397" s="20"/>
    </x:row>
    <x:row r="398">
      <x:c r="A398" s="50"/>
      <x:c r="B398" s="20"/>
      <x:c r="C398" s="20"/>
      <x:c r="D398" s="20"/>
      <x:c r="E398" s="52"/>
      <x:c r="F398" s="20"/>
      <x:c r="G398" s="20"/>
      <x:c r="H398" s="20"/>
      <x:c r="I398" s="20"/>
      <x:c r="J398" s="20"/>
    </x:row>
    <x:row r="399">
      <x:c r="A399" s="50"/>
      <x:c r="B399" s="20"/>
      <x:c r="C399" s="20"/>
      <x:c r="D399" s="20"/>
      <x:c r="E399" s="52"/>
      <x:c r="F399" s="20"/>
      <x:c r="G399" s="20"/>
      <x:c r="H399" s="20"/>
      <x:c r="I399" s="20"/>
      <x:c r="J399" s="20"/>
    </x:row>
    <x:row r="400">
      <x:c r="A400" s="50"/>
      <x:c r="B400" s="20"/>
      <x:c r="C400" s="20"/>
      <x:c r="D400" s="20"/>
      <x:c r="E400" s="52"/>
      <x:c r="F400" s="20"/>
      <x:c r="G400" s="20"/>
      <x:c r="H400" s="20"/>
      <x:c r="I400" s="20"/>
      <x:c r="J400" s="20"/>
    </x:row>
    <x:row r="401">
      <x:c r="A401" s="50"/>
      <x:c r="B401" s="20"/>
      <x:c r="C401" s="20"/>
      <x:c r="D401" s="20"/>
      <x:c r="E401" s="52"/>
      <x:c r="F401" s="20"/>
      <x:c r="G401" s="20"/>
      <x:c r="H401" s="20"/>
      <x:c r="I401" s="20"/>
      <x:c r="J401" s="20"/>
    </x:row>
    <x:row r="402">
      <x:c r="A402" s="50"/>
      <x:c r="B402" s="20"/>
      <x:c r="C402" s="20"/>
      <x:c r="D402" s="20"/>
      <x:c r="E402" s="52"/>
      <x:c r="F402" s="20"/>
      <x:c r="G402" s="20"/>
      <x:c r="H402" s="20"/>
      <x:c r="I402" s="20"/>
      <x:c r="J402" s="20"/>
    </x:row>
    <x:row r="403">
      <x:c r="A403" s="50"/>
      <x:c r="B403" s="20"/>
      <x:c r="C403" s="20"/>
      <x:c r="D403" s="20"/>
      <x:c r="E403" s="52"/>
      <x:c r="F403" s="20"/>
      <x:c r="G403" s="20"/>
      <x:c r="H403" s="20"/>
      <x:c r="I403" s="20"/>
      <x:c r="J403" s="20"/>
    </x:row>
    <x:row r="404">
      <x:c r="A404" s="50"/>
      <x:c r="B404" s="20"/>
      <x:c r="C404" s="20"/>
      <x:c r="D404" s="20"/>
      <x:c r="E404" s="52"/>
      <x:c r="F404" s="20"/>
      <x:c r="G404" s="20"/>
      <x:c r="H404" s="20"/>
      <x:c r="I404" s="20"/>
      <x:c r="J404" s="20"/>
    </x:row>
    <x:row r="405">
      <x:c r="A405" s="50"/>
      <x:c r="B405" s="20"/>
      <x:c r="C405" s="20"/>
      <x:c r="D405" s="20"/>
      <x:c r="E405" s="52"/>
      <x:c r="F405" s="20"/>
      <x:c r="G405" s="20"/>
      <x:c r="H405" s="20"/>
      <x:c r="I405" s="20"/>
      <x:c r="J405" s="20"/>
    </x:row>
    <x:row r="406">
      <x:c r="A406" s="50"/>
      <x:c r="B406" s="20"/>
      <x:c r="C406" s="20"/>
      <x:c r="D406" s="20"/>
      <x:c r="E406" s="52"/>
      <x:c r="F406" s="20"/>
      <x:c r="G406" s="20"/>
      <x:c r="H406" s="20"/>
      <x:c r="I406" s="20"/>
      <x:c r="J406" s="20"/>
    </x:row>
    <x:row r="407">
      <x:c r="A407" s="50"/>
      <x:c r="B407" s="20"/>
      <x:c r="C407" s="20"/>
      <x:c r="D407" s="20"/>
      <x:c r="E407" s="52"/>
      <x:c r="F407" s="20"/>
      <x:c r="G407" s="20"/>
      <x:c r="H407" s="20"/>
      <x:c r="I407" s="20"/>
      <x:c r="J407" s="20"/>
    </x:row>
    <x:row r="408">
      <x:c r="A408" s="50"/>
      <x:c r="B408" s="20"/>
      <x:c r="C408" s="20"/>
      <x:c r="D408" s="20"/>
      <x:c r="E408" s="52"/>
      <x:c r="F408" s="20"/>
      <x:c r="G408" s="20"/>
      <x:c r="H408" s="20"/>
      <x:c r="I408" s="20"/>
      <x:c r="J408" s="20"/>
    </x:row>
    <x:row r="409">
      <x:c r="A409" s="50"/>
      <x:c r="B409" s="20"/>
      <x:c r="C409" s="20"/>
      <x:c r="D409" s="20"/>
      <x:c r="E409" s="52"/>
      <x:c r="F409" s="20"/>
      <x:c r="G409" s="20"/>
      <x:c r="H409" s="20"/>
      <x:c r="I409" s="20"/>
      <x:c r="J409" s="20"/>
    </x:row>
    <x:row r="410">
      <x:c r="A410" s="50"/>
      <x:c r="B410" s="20"/>
      <x:c r="C410" s="20"/>
      <x:c r="D410" s="20"/>
      <x:c r="E410" s="52"/>
      <x:c r="F410" s="20"/>
      <x:c r="G410" s="20"/>
      <x:c r="H410" s="20"/>
      <x:c r="I410" s="20"/>
      <x:c r="J410" s="20"/>
    </x:row>
    <x:row r="411">
      <x:c r="A411" s="50"/>
      <x:c r="B411" s="20"/>
      <x:c r="C411" s="20"/>
      <x:c r="D411" s="20"/>
      <x:c r="E411" s="52"/>
      <x:c r="F411" s="20"/>
      <x:c r="G411" s="20"/>
      <x:c r="H411" s="20"/>
      <x:c r="I411" s="20"/>
      <x:c r="J411" s="20"/>
    </x:row>
    <x:row r="412">
      <x:c r="A412" s="50"/>
      <x:c r="B412" s="20"/>
      <x:c r="C412" s="20"/>
      <x:c r="D412" s="20"/>
      <x:c r="E412" s="52"/>
      <x:c r="F412" s="20"/>
      <x:c r="G412" s="20"/>
      <x:c r="H412" s="20"/>
      <x:c r="I412" s="20"/>
      <x:c r="J412" s="20"/>
    </x:row>
    <x:row r="413">
      <x:c r="A413" s="50"/>
      <x:c r="B413" s="20"/>
      <x:c r="C413" s="20"/>
      <x:c r="D413" s="20"/>
      <x:c r="E413" s="52"/>
      <x:c r="F413" s="20"/>
      <x:c r="G413" s="20"/>
      <x:c r="H413" s="20"/>
      <x:c r="I413" s="20"/>
      <x:c r="J413" s="20"/>
    </x:row>
    <x:row r="414">
      <x:c r="A414" s="50"/>
      <x:c r="B414" s="20"/>
      <x:c r="C414" s="20"/>
      <x:c r="D414" s="20"/>
      <x:c r="E414" s="52"/>
      <x:c r="F414" s="20"/>
      <x:c r="G414" s="20"/>
      <x:c r="H414" s="20"/>
      <x:c r="I414" s="20"/>
      <x:c r="J414" s="20"/>
    </x:row>
    <x:row r="415">
      <x:c r="A415" s="50"/>
      <x:c r="B415" s="20"/>
      <x:c r="C415" s="20"/>
      <x:c r="D415" s="20"/>
      <x:c r="E415" s="52"/>
      <x:c r="F415" s="20"/>
      <x:c r="G415" s="20"/>
      <x:c r="H415" s="20"/>
      <x:c r="I415" s="20"/>
      <x:c r="J415" s="20"/>
    </x:row>
    <x:row r="416">
      <x:c r="A416" s="50"/>
      <x:c r="B416" s="20"/>
      <x:c r="C416" s="20"/>
      <x:c r="D416" s="20"/>
      <x:c r="E416" s="52"/>
      <x:c r="F416" s="20"/>
      <x:c r="G416" s="20"/>
      <x:c r="H416" s="20"/>
      <x:c r="I416" s="20"/>
      <x:c r="J416" s="20"/>
    </x:row>
    <x:row r="417">
      <x:c r="A417" s="50"/>
      <x:c r="B417" s="20"/>
      <x:c r="C417" s="20"/>
      <x:c r="D417" s="20"/>
      <x:c r="E417" s="52"/>
      <x:c r="F417" s="20"/>
      <x:c r="G417" s="20"/>
      <x:c r="H417" s="20"/>
      <x:c r="I417" s="20"/>
      <x:c r="J417" s="20"/>
    </x:row>
    <x:row r="418">
      <x:c r="A418" s="50"/>
      <x:c r="B418" s="20"/>
      <x:c r="C418" s="20"/>
      <x:c r="D418" s="20"/>
      <x:c r="E418" s="52"/>
      <x:c r="F418" s="20"/>
      <x:c r="G418" s="20"/>
      <x:c r="H418" s="20"/>
      <x:c r="I418" s="20"/>
      <x:c r="J418" s="20"/>
    </x:row>
    <x:row r="419">
      <x:c r="A419" s="50"/>
      <x:c r="B419" s="20"/>
      <x:c r="C419" s="20"/>
      <x:c r="D419" s="20"/>
      <x:c r="E419" s="52"/>
      <x:c r="F419" s="20"/>
      <x:c r="G419" s="20"/>
      <x:c r="H419" s="20"/>
      <x:c r="I419" s="20"/>
      <x:c r="J419" s="20"/>
    </x:row>
    <x:row r="420">
      <x:c r="A420" s="50"/>
      <x:c r="B420" s="20"/>
      <x:c r="C420" s="20"/>
      <x:c r="D420" s="20"/>
      <x:c r="E420" s="52"/>
      <x:c r="F420" s="20"/>
      <x:c r="G420" s="20"/>
      <x:c r="H420" s="20"/>
      <x:c r="I420" s="20"/>
      <x:c r="J420" s="20"/>
    </x:row>
    <x:row r="421">
      <x:c r="A421" s="50"/>
      <x:c r="B421" s="20"/>
      <x:c r="C421" s="20"/>
      <x:c r="D421" s="20"/>
      <x:c r="E421" s="52"/>
      <x:c r="F421" s="20"/>
      <x:c r="G421" s="20"/>
      <x:c r="H421" s="20"/>
      <x:c r="I421" s="20"/>
      <x:c r="J421" s="20"/>
    </x:row>
    <x:row r="422">
      <x:c r="A422" s="50"/>
      <x:c r="B422" s="20"/>
      <x:c r="C422" s="20"/>
      <x:c r="D422" s="20"/>
      <x:c r="E422" s="52"/>
      <x:c r="F422" s="20"/>
      <x:c r="G422" s="20"/>
      <x:c r="H422" s="20"/>
      <x:c r="I422" s="20"/>
      <x:c r="J422" s="20"/>
    </x:row>
    <x:row r="423">
      <x:c r="A423" s="50"/>
      <x:c r="B423" s="20"/>
      <x:c r="C423" s="20"/>
      <x:c r="D423" s="20"/>
      <x:c r="E423" s="52"/>
      <x:c r="F423" s="20"/>
      <x:c r="G423" s="20"/>
      <x:c r="H423" s="20"/>
      <x:c r="I423" s="20"/>
      <x:c r="J423" s="20"/>
    </x:row>
    <x:row r="424">
      <x:c r="A424" s="50"/>
      <x:c r="B424" s="20"/>
      <x:c r="C424" s="20"/>
      <x:c r="D424" s="20"/>
      <x:c r="E424" s="52"/>
      <x:c r="F424" s="20"/>
      <x:c r="G424" s="20"/>
      <x:c r="H424" s="20"/>
      <x:c r="I424" s="20"/>
      <x:c r="J424" s="20"/>
    </x:row>
    <x:row r="425">
      <x:c r="A425" s="50"/>
      <x:c r="B425" s="20"/>
      <x:c r="C425" s="20"/>
      <x:c r="D425" s="20"/>
      <x:c r="E425" s="52"/>
      <x:c r="F425" s="20"/>
      <x:c r="G425" s="20"/>
      <x:c r="H425" s="20"/>
      <x:c r="I425" s="20"/>
      <x:c r="J425" s="20"/>
    </x:row>
    <x:row r="426">
      <x:c r="A426" s="50"/>
      <x:c r="B426" s="20"/>
      <x:c r="C426" s="20"/>
      <x:c r="D426" s="20"/>
      <x:c r="E426" s="52"/>
      <x:c r="F426" s="20"/>
      <x:c r="G426" s="20"/>
      <x:c r="H426" s="20"/>
      <x:c r="I426" s="20"/>
      <x:c r="J426" s="20"/>
    </x:row>
    <x:row r="427">
      <x:c r="A427" s="50"/>
      <x:c r="B427" s="20"/>
      <x:c r="C427" s="20"/>
      <x:c r="D427" s="20"/>
      <x:c r="E427" s="52"/>
      <x:c r="F427" s="20"/>
      <x:c r="G427" s="20"/>
      <x:c r="H427" s="20"/>
      <x:c r="I427" s="20"/>
      <x:c r="J427" s="20"/>
    </x:row>
    <x:row r="428">
      <x:c r="A428" s="50"/>
      <x:c r="B428" s="20"/>
      <x:c r="C428" s="20"/>
      <x:c r="D428" s="20"/>
      <x:c r="E428" s="52"/>
      <x:c r="F428" s="20"/>
      <x:c r="G428" s="20"/>
      <x:c r="H428" s="20"/>
      <x:c r="I428" s="20"/>
      <x:c r="J428" s="20"/>
    </x:row>
    <x:row r="429">
      <x:c r="A429" s="50"/>
      <x:c r="B429" s="20"/>
      <x:c r="C429" s="20"/>
      <x:c r="D429" s="20"/>
      <x:c r="E429" s="52"/>
      <x:c r="F429" s="20"/>
      <x:c r="G429" s="20"/>
      <x:c r="H429" s="20"/>
      <x:c r="I429" s="20"/>
      <x:c r="J429" s="20"/>
    </x:row>
    <x:row r="430">
      <x:c r="A430" s="50"/>
      <x:c r="B430" s="20"/>
      <x:c r="C430" s="20"/>
      <x:c r="D430" s="20"/>
      <x:c r="E430" s="52"/>
      <x:c r="F430" s="20"/>
      <x:c r="G430" s="20"/>
      <x:c r="H430" s="20"/>
      <x:c r="I430" s="20"/>
      <x:c r="J430" s="20"/>
    </x:row>
    <x:row r="431">
      <x:c r="A431" s="50"/>
      <x:c r="B431" s="20"/>
      <x:c r="C431" s="20"/>
      <x:c r="D431" s="20"/>
      <x:c r="E431" s="52"/>
      <x:c r="F431" s="20"/>
      <x:c r="G431" s="20"/>
      <x:c r="H431" s="20"/>
      <x:c r="I431" s="20"/>
      <x:c r="J431" s="20"/>
    </x:row>
    <x:row r="432">
      <x:c r="A432" s="50"/>
      <x:c r="B432" s="20"/>
      <x:c r="C432" s="20"/>
      <x:c r="D432" s="20"/>
      <x:c r="E432" s="52"/>
      <x:c r="F432" s="20"/>
      <x:c r="G432" s="20"/>
      <x:c r="H432" s="20"/>
      <x:c r="I432" s="20"/>
      <x:c r="J432" s="20"/>
    </x:row>
    <x:row r="433">
      <x:c r="A433" s="50"/>
      <x:c r="B433" s="20"/>
      <x:c r="C433" s="20"/>
      <x:c r="D433" s="20"/>
      <x:c r="E433" s="52"/>
      <x:c r="F433" s="20"/>
      <x:c r="G433" s="20"/>
      <x:c r="H433" s="20"/>
      <x:c r="I433" s="20"/>
      <x:c r="J433" s="20"/>
    </x:row>
    <x:row r="434">
      <x:c r="A434" s="50"/>
      <x:c r="B434" s="20"/>
      <x:c r="C434" s="20"/>
      <x:c r="D434" s="20"/>
      <x:c r="E434" s="52"/>
      <x:c r="F434" s="20"/>
      <x:c r="G434" s="20"/>
      <x:c r="H434" s="20"/>
      <x:c r="I434" s="20"/>
      <x:c r="J434" s="20"/>
    </x:row>
    <x:row r="435">
      <x:c r="A435" s="50"/>
      <x:c r="B435" s="20"/>
      <x:c r="C435" s="20"/>
      <x:c r="D435" s="20"/>
      <x:c r="E435" s="52"/>
      <x:c r="F435" s="20"/>
      <x:c r="G435" s="20"/>
      <x:c r="H435" s="20"/>
      <x:c r="I435" s="20"/>
      <x:c r="J435" s="20"/>
    </x:row>
    <x:row r="436">
      <x:c r="A436" s="50"/>
      <x:c r="B436" s="20"/>
      <x:c r="C436" s="20"/>
      <x:c r="D436" s="20"/>
      <x:c r="E436" s="52"/>
      <x:c r="F436" s="20"/>
      <x:c r="G436" s="20"/>
      <x:c r="H436" s="20"/>
      <x:c r="I436" s="20"/>
      <x:c r="J436" s="20"/>
    </x:row>
    <x:row r="437">
      <x:c r="A437" s="50"/>
      <x:c r="B437" s="20"/>
      <x:c r="C437" s="20"/>
      <x:c r="D437" s="20"/>
      <x:c r="E437" s="52"/>
      <x:c r="F437" s="20"/>
      <x:c r="G437" s="20"/>
      <x:c r="H437" s="20"/>
      <x:c r="I437" s="20"/>
      <x:c r="J437" s="20"/>
    </x:row>
    <x:row r="438">
      <x:c r="A438" s="50"/>
      <x:c r="B438" s="20"/>
      <x:c r="C438" s="20"/>
      <x:c r="D438" s="20"/>
      <x:c r="E438" s="52"/>
      <x:c r="F438" s="20"/>
      <x:c r="G438" s="20"/>
      <x:c r="H438" s="20"/>
      <x:c r="I438" s="20"/>
      <x:c r="J438" s="20"/>
    </x:row>
    <x:row r="439">
      <x:c r="A439" s="50"/>
      <x:c r="B439" s="20"/>
      <x:c r="C439" s="20"/>
      <x:c r="D439" s="20"/>
      <x:c r="E439" s="52"/>
      <x:c r="F439" s="20"/>
      <x:c r="G439" s="20"/>
      <x:c r="H439" s="20"/>
      <x:c r="I439" s="20"/>
      <x:c r="J439" s="20"/>
    </x:row>
    <x:row r="440">
      <x:c r="A440" s="50"/>
      <x:c r="B440" s="20"/>
      <x:c r="C440" s="20"/>
      <x:c r="D440" s="20"/>
      <x:c r="E440" s="52"/>
      <x:c r="F440" s="20"/>
      <x:c r="G440" s="20"/>
      <x:c r="H440" s="20"/>
      <x:c r="I440" s="20"/>
      <x:c r="J440" s="20"/>
    </x:row>
    <x:row r="441">
      <x:c r="A441" s="50"/>
      <x:c r="B441" s="20"/>
      <x:c r="C441" s="20"/>
      <x:c r="D441" s="20"/>
      <x:c r="E441" s="52"/>
      <x:c r="F441" s="20"/>
      <x:c r="G441" s="20"/>
      <x:c r="H441" s="20"/>
      <x:c r="I441" s="20"/>
      <x:c r="J441" s="20"/>
    </x:row>
    <x:row r="442">
      <x:c r="A442" s="50"/>
      <x:c r="B442" s="20"/>
      <x:c r="C442" s="20"/>
      <x:c r="D442" s="20"/>
      <x:c r="E442" s="52"/>
      <x:c r="F442" s="20"/>
      <x:c r="G442" s="20"/>
      <x:c r="H442" s="20"/>
      <x:c r="I442" s="20"/>
      <x:c r="J442" s="20"/>
    </x:row>
    <x:row r="443">
      <x:c r="A443" s="50"/>
      <x:c r="B443" s="20"/>
      <x:c r="C443" s="20"/>
      <x:c r="D443" s="20"/>
      <x:c r="E443" s="52"/>
      <x:c r="F443" s="20"/>
      <x:c r="G443" s="20"/>
      <x:c r="H443" s="20"/>
      <x:c r="I443" s="20"/>
      <x:c r="J443" s="20"/>
    </x:row>
    <x:row r="444">
      <x:c r="A444" s="50"/>
      <x:c r="B444" s="20"/>
      <x:c r="C444" s="20"/>
      <x:c r="D444" s="20"/>
      <x:c r="E444" s="52"/>
      <x:c r="F444" s="20"/>
      <x:c r="G444" s="20"/>
      <x:c r="H444" s="20"/>
      <x:c r="I444" s="20"/>
      <x:c r="J444" s="20"/>
    </x:row>
    <x:row r="445">
      <x:c r="A445" s="50"/>
      <x:c r="B445" s="20"/>
      <x:c r="C445" s="20"/>
      <x:c r="D445" s="20"/>
      <x:c r="E445" s="52"/>
      <x:c r="F445" s="20"/>
      <x:c r="G445" s="20"/>
      <x:c r="H445" s="20"/>
      <x:c r="I445" s="20"/>
      <x:c r="J445" s="20"/>
    </x:row>
    <x:row r="446">
      <x:c r="A446" s="50"/>
      <x:c r="B446" s="20"/>
      <x:c r="C446" s="20"/>
      <x:c r="D446" s="20"/>
      <x:c r="E446" s="52"/>
      <x:c r="F446" s="20"/>
      <x:c r="G446" s="20"/>
      <x:c r="H446" s="20"/>
      <x:c r="I446" s="20"/>
      <x:c r="J446" s="20"/>
    </x:row>
    <x:row r="447">
      <x:c r="A447" s="50"/>
      <x:c r="B447" s="20"/>
      <x:c r="C447" s="20"/>
      <x:c r="D447" s="20"/>
      <x:c r="E447" s="52"/>
      <x:c r="F447" s="20"/>
      <x:c r="G447" s="20"/>
      <x:c r="H447" s="20"/>
      <x:c r="I447" s="20"/>
      <x:c r="J447" s="20"/>
    </x:row>
    <x:row r="448">
      <x:c r="A448" s="50"/>
      <x:c r="B448" s="20"/>
      <x:c r="C448" s="20"/>
      <x:c r="D448" s="20"/>
      <x:c r="E448" s="52"/>
      <x:c r="F448" s="20"/>
      <x:c r="G448" s="20"/>
      <x:c r="H448" s="20"/>
      <x:c r="I448" s="20"/>
      <x:c r="J448" s="20"/>
    </x:row>
    <x:row r="449">
      <x:c r="A449" s="50"/>
      <x:c r="B449" s="20"/>
      <x:c r="C449" s="20"/>
      <x:c r="D449" s="20"/>
      <x:c r="E449" s="52"/>
      <x:c r="F449" s="20"/>
      <x:c r="G449" s="20"/>
      <x:c r="H449" s="20"/>
      <x:c r="I449" s="20"/>
      <x:c r="J449" s="20"/>
    </x:row>
    <x:row r="450">
      <x:c r="A450" s="50"/>
      <x:c r="B450" s="20"/>
      <x:c r="C450" s="20"/>
      <x:c r="D450" s="20"/>
      <x:c r="E450" s="52"/>
      <x:c r="F450" s="20"/>
      <x:c r="G450" s="20"/>
      <x:c r="H450" s="20"/>
      <x:c r="I450" s="20"/>
      <x:c r="J450" s="20"/>
    </x:row>
    <x:row r="451">
      <x:c r="A451" s="50"/>
      <x:c r="B451" s="20"/>
      <x:c r="C451" s="20"/>
      <x:c r="D451" s="20"/>
      <x:c r="E451" s="52"/>
      <x:c r="F451" s="20"/>
      <x:c r="G451" s="20"/>
      <x:c r="H451" s="20"/>
      <x:c r="I451" s="20"/>
      <x:c r="J451" s="20"/>
    </x:row>
    <x:row r="452">
      <x:c r="A452" s="50"/>
      <x:c r="B452" s="20"/>
      <x:c r="C452" s="20"/>
      <x:c r="D452" s="20"/>
      <x:c r="E452" s="52"/>
      <x:c r="F452" s="20"/>
      <x:c r="G452" s="20"/>
      <x:c r="H452" s="20"/>
      <x:c r="I452" s="20"/>
      <x:c r="J452" s="20"/>
    </x:row>
    <x:row r="453">
      <x:c r="A453" s="50"/>
      <x:c r="B453" s="20"/>
      <x:c r="C453" s="20"/>
      <x:c r="D453" s="20"/>
      <x:c r="E453" s="52"/>
      <x:c r="F453" s="20"/>
      <x:c r="G453" s="20"/>
      <x:c r="H453" s="20"/>
      <x:c r="I453" s="20"/>
      <x:c r="J453" s="20"/>
    </x:row>
    <x:row r="454">
      <x:c r="A454" s="50"/>
      <x:c r="B454" s="20"/>
      <x:c r="C454" s="20"/>
      <x:c r="D454" s="20"/>
      <x:c r="E454" s="52"/>
      <x:c r="F454" s="20"/>
      <x:c r="G454" s="20"/>
      <x:c r="H454" s="20"/>
      <x:c r="I454" s="20"/>
      <x:c r="J454" s="20"/>
    </x:row>
    <x:row r="455">
      <x:c r="A455" s="50"/>
      <x:c r="B455" s="20"/>
      <x:c r="C455" s="20"/>
      <x:c r="D455" s="20"/>
      <x:c r="E455" s="52"/>
      <x:c r="F455" s="20"/>
      <x:c r="G455" s="20"/>
      <x:c r="H455" s="20"/>
      <x:c r="I455" s="20"/>
      <x:c r="J455" s="20"/>
    </x:row>
    <x:row r="456">
      <x:c r="A456" s="50"/>
      <x:c r="B456" s="20"/>
      <x:c r="C456" s="20"/>
      <x:c r="D456" s="20"/>
      <x:c r="E456" s="52"/>
      <x:c r="F456" s="20"/>
      <x:c r="G456" s="20"/>
      <x:c r="H456" s="20"/>
      <x:c r="I456" s="20"/>
      <x:c r="J456" s="20"/>
    </x:row>
    <x:row r="457">
      <x:c r="A457" s="50"/>
      <x:c r="B457" s="20"/>
      <x:c r="C457" s="20"/>
      <x:c r="D457" s="20"/>
      <x:c r="E457" s="52"/>
      <x:c r="F457" s="20"/>
      <x:c r="G457" s="20"/>
      <x:c r="H457" s="20"/>
      <x:c r="I457" s="20"/>
      <x:c r="J457" s="20"/>
    </x:row>
    <x:row r="458">
      <x:c r="A458" s="50"/>
      <x:c r="B458" s="20"/>
      <x:c r="C458" s="20"/>
      <x:c r="D458" s="20"/>
      <x:c r="E458" s="52"/>
      <x:c r="F458" s="20"/>
      <x:c r="G458" s="20"/>
      <x:c r="H458" s="20"/>
      <x:c r="I458" s="20"/>
      <x:c r="J458" s="20"/>
    </x:row>
    <x:row r="459">
      <x:c r="A459" s="50"/>
      <x:c r="B459" s="20"/>
      <x:c r="C459" s="20"/>
      <x:c r="D459" s="20"/>
      <x:c r="E459" s="52"/>
      <x:c r="F459" s="20"/>
      <x:c r="G459" s="20"/>
      <x:c r="H459" s="20"/>
      <x:c r="I459" s="20"/>
      <x:c r="J459" s="20"/>
    </x:row>
    <x:row r="460">
      <x:c r="A460" s="50"/>
      <x:c r="B460" s="20"/>
      <x:c r="C460" s="20"/>
      <x:c r="D460" s="20"/>
      <x:c r="E460" s="52"/>
      <x:c r="F460" s="20"/>
      <x:c r="G460" s="20"/>
      <x:c r="H460" s="20"/>
      <x:c r="I460" s="20"/>
      <x:c r="J460" s="20"/>
    </x:row>
    <x:row r="461">
      <x:c r="A461" s="50"/>
      <x:c r="B461" s="20"/>
      <x:c r="C461" s="20"/>
      <x:c r="D461" s="20"/>
      <x:c r="E461" s="52"/>
      <x:c r="F461" s="20"/>
      <x:c r="G461" s="20"/>
      <x:c r="H461" s="20"/>
      <x:c r="I461" s="20"/>
      <x:c r="J461" s="20"/>
    </x:row>
    <x:row r="462">
      <x:c r="A462" s="50"/>
      <x:c r="B462" s="20"/>
      <x:c r="C462" s="20"/>
      <x:c r="D462" s="20"/>
      <x:c r="E462" s="52"/>
      <x:c r="F462" s="20"/>
      <x:c r="G462" s="20"/>
      <x:c r="H462" s="20"/>
      <x:c r="I462" s="20"/>
      <x:c r="J462" s="20"/>
    </x:row>
    <x:row r="463">
      <x:c r="A463" s="50"/>
      <x:c r="B463" s="20"/>
      <x:c r="C463" s="20"/>
      <x:c r="D463" s="20"/>
      <x:c r="E463" s="52"/>
      <x:c r="F463" s="20"/>
      <x:c r="G463" s="20"/>
      <x:c r="H463" s="20"/>
      <x:c r="I463" s="20"/>
      <x:c r="J463" s="20"/>
    </x:row>
    <x:row r="464">
      <x:c r="A464" s="50"/>
      <x:c r="B464" s="20"/>
      <x:c r="C464" s="20"/>
      <x:c r="D464" s="20"/>
      <x:c r="E464" s="52"/>
      <x:c r="F464" s="20"/>
      <x:c r="G464" s="20"/>
      <x:c r="H464" s="20"/>
      <x:c r="I464" s="20"/>
      <x:c r="J464" s="20"/>
    </x:row>
    <x:row r="465">
      <x:c r="A465" s="50"/>
      <x:c r="B465" s="20"/>
      <x:c r="C465" s="20"/>
      <x:c r="D465" s="20"/>
      <x:c r="E465" s="52"/>
      <x:c r="F465" s="20"/>
      <x:c r="G465" s="20"/>
      <x:c r="H465" s="20"/>
      <x:c r="I465" s="20"/>
      <x:c r="J465" s="20"/>
    </x:row>
    <x:row r="466">
      <x:c r="A466" s="50"/>
      <x:c r="B466" s="20"/>
      <x:c r="C466" s="20"/>
      <x:c r="D466" s="20"/>
      <x:c r="E466" s="52"/>
      <x:c r="F466" s="20"/>
      <x:c r="G466" s="20"/>
      <x:c r="H466" s="20"/>
      <x:c r="I466" s="20"/>
      <x:c r="J466" s="20"/>
    </x:row>
    <x:row r="467">
      <x:c r="A467" s="50"/>
      <x:c r="B467" s="20"/>
      <x:c r="C467" s="20"/>
      <x:c r="D467" s="20"/>
      <x:c r="E467" s="52"/>
      <x:c r="F467" s="20"/>
      <x:c r="G467" s="20"/>
      <x:c r="H467" s="20"/>
      <x:c r="I467" s="20"/>
      <x:c r="J467" s="20"/>
    </x:row>
    <x:row r="468">
      <x:c r="A468" s="50"/>
      <x:c r="B468" s="20"/>
      <x:c r="C468" s="20"/>
      <x:c r="D468" s="20"/>
      <x:c r="E468" s="52"/>
      <x:c r="F468" s="20"/>
      <x:c r="G468" s="20"/>
      <x:c r="H468" s="20"/>
      <x:c r="I468" s="20"/>
      <x:c r="J468" s="20"/>
    </x:row>
    <x:row r="469">
      <x:c r="A469" s="50"/>
      <x:c r="B469" s="20"/>
      <x:c r="C469" s="20"/>
      <x:c r="D469" s="20"/>
      <x:c r="E469" s="52"/>
      <x:c r="F469" s="20"/>
      <x:c r="G469" s="20"/>
      <x:c r="H469" s="20"/>
      <x:c r="I469" s="20"/>
      <x:c r="J469" s="20"/>
    </x:row>
    <x:row r="470">
      <x:c r="A470" s="50"/>
      <x:c r="B470" s="20"/>
      <x:c r="C470" s="20"/>
      <x:c r="D470" s="20"/>
      <x:c r="E470" s="52"/>
      <x:c r="F470" s="20"/>
      <x:c r="G470" s="20"/>
      <x:c r="H470" s="20"/>
      <x:c r="I470" s="20"/>
      <x:c r="J470" s="20"/>
    </x:row>
    <x:row r="471">
      <x:c r="A471" s="50"/>
      <x:c r="B471" s="20"/>
      <x:c r="C471" s="20"/>
      <x:c r="D471" s="20"/>
      <x:c r="E471" s="52"/>
      <x:c r="F471" s="20"/>
      <x:c r="G471" s="20"/>
      <x:c r="H471" s="20"/>
      <x:c r="I471" s="20"/>
      <x:c r="J471" s="20"/>
    </x:row>
    <x:row r="472">
      <x:c r="A472" s="50"/>
      <x:c r="B472" s="20"/>
      <x:c r="C472" s="20"/>
      <x:c r="D472" s="20"/>
      <x:c r="E472" s="52"/>
      <x:c r="F472" s="20"/>
      <x:c r="G472" s="20"/>
      <x:c r="H472" s="20"/>
      <x:c r="I472" s="20"/>
      <x:c r="J472" s="20"/>
    </x:row>
    <x:row r="473">
      <x:c r="A473" s="50"/>
      <x:c r="B473" s="20"/>
      <x:c r="C473" s="20"/>
      <x:c r="D473" s="20"/>
      <x:c r="E473" s="52"/>
      <x:c r="F473" s="20"/>
      <x:c r="G473" s="20"/>
      <x:c r="H473" s="20"/>
      <x:c r="I473" s="20"/>
      <x:c r="J473" s="20"/>
    </x:row>
    <x:row r="474">
      <x:c r="A474" s="50"/>
      <x:c r="B474" s="20"/>
      <x:c r="C474" s="20"/>
      <x:c r="D474" s="20"/>
      <x:c r="E474" s="52"/>
      <x:c r="F474" s="20"/>
      <x:c r="G474" s="20"/>
      <x:c r="H474" s="20"/>
      <x:c r="I474" s="20"/>
      <x:c r="J474" s="20"/>
    </x:row>
    <x:row r="475">
      <x:c r="A475" s="50"/>
      <x:c r="B475" s="20"/>
      <x:c r="C475" s="20"/>
      <x:c r="D475" s="20"/>
      <x:c r="E475" s="52"/>
      <x:c r="F475" s="20"/>
      <x:c r="G475" s="20"/>
      <x:c r="H475" s="20"/>
      <x:c r="I475" s="20"/>
      <x:c r="J475" s="20"/>
    </x:row>
    <x:row r="476">
      <x:c r="A476" s="50"/>
      <x:c r="B476" s="20"/>
      <x:c r="C476" s="20"/>
      <x:c r="D476" s="20"/>
      <x:c r="E476" s="52"/>
      <x:c r="F476" s="20"/>
      <x:c r="G476" s="20"/>
      <x:c r="H476" s="20"/>
      <x:c r="I476" s="20"/>
      <x:c r="J476" s="20"/>
    </x:row>
    <x:row r="477">
      <x:c r="A477" s="50"/>
      <x:c r="B477" s="20"/>
      <x:c r="C477" s="20"/>
      <x:c r="D477" s="20"/>
      <x:c r="E477" s="52"/>
      <x:c r="F477" s="20"/>
      <x:c r="G477" s="20"/>
      <x:c r="H477" s="20"/>
      <x:c r="I477" s="20"/>
      <x:c r="J477" s="20"/>
    </x:row>
    <x:row r="478">
      <x:c r="A478" s="50"/>
      <x:c r="B478" s="20"/>
      <x:c r="C478" s="20"/>
      <x:c r="D478" s="20"/>
      <x:c r="E478" s="52"/>
      <x:c r="F478" s="20"/>
      <x:c r="G478" s="20"/>
      <x:c r="H478" s="20"/>
      <x:c r="I478" s="20"/>
      <x:c r="J478" s="20"/>
    </x:row>
    <x:row r="479">
      <x:c r="A479" s="50"/>
      <x:c r="B479" s="20"/>
      <x:c r="C479" s="20"/>
      <x:c r="D479" s="20"/>
      <x:c r="E479" s="52"/>
      <x:c r="F479" s="20"/>
      <x:c r="G479" s="20"/>
      <x:c r="H479" s="20"/>
      <x:c r="I479" s="20"/>
      <x:c r="J479" s="20"/>
    </x:row>
    <x:row r="480">
      <x:c r="A480" s="50"/>
      <x:c r="B480" s="20"/>
      <x:c r="C480" s="20"/>
      <x:c r="D480" s="20"/>
      <x:c r="E480" s="52"/>
      <x:c r="F480" s="20"/>
      <x:c r="G480" s="20"/>
      <x:c r="H480" s="20"/>
      <x:c r="I480" s="20"/>
      <x:c r="J480" s="20"/>
    </x:row>
    <x:row r="481">
      <x:c r="A481" s="50"/>
      <x:c r="B481" s="20"/>
      <x:c r="C481" s="20"/>
      <x:c r="D481" s="20"/>
      <x:c r="E481" s="52"/>
      <x:c r="F481" s="20"/>
      <x:c r="G481" s="20"/>
      <x:c r="H481" s="20"/>
      <x:c r="I481" s="20"/>
      <x:c r="J481" s="20"/>
    </x:row>
    <x:row r="482">
      <x:c r="A482" s="50"/>
      <x:c r="B482" s="20"/>
      <x:c r="C482" s="20"/>
      <x:c r="D482" s="20"/>
      <x:c r="E482" s="52"/>
      <x:c r="F482" s="20"/>
      <x:c r="G482" s="20"/>
      <x:c r="H482" s="20"/>
      <x:c r="I482" s="20"/>
      <x:c r="J482" s="20"/>
    </x:row>
    <x:row r="483">
      <x:c r="A483" s="50"/>
      <x:c r="B483" s="20"/>
      <x:c r="C483" s="20"/>
      <x:c r="D483" s="20"/>
      <x:c r="E483" s="52"/>
      <x:c r="F483" s="20"/>
      <x:c r="G483" s="20"/>
      <x:c r="H483" s="20"/>
      <x:c r="I483" s="20"/>
      <x:c r="J483" s="20"/>
    </x:row>
    <x:row r="484">
      <x:c r="A484" s="50"/>
      <x:c r="B484" s="20"/>
      <x:c r="C484" s="20"/>
      <x:c r="D484" s="20"/>
      <x:c r="E484" s="52"/>
      <x:c r="F484" s="20"/>
      <x:c r="G484" s="20"/>
      <x:c r="H484" s="20"/>
      <x:c r="I484" s="20"/>
      <x:c r="J484" s="20"/>
    </x:row>
    <x:row r="485">
      <x:c r="A485" s="50"/>
      <x:c r="B485" s="20"/>
      <x:c r="C485" s="20"/>
      <x:c r="D485" s="20"/>
      <x:c r="E485" s="52"/>
      <x:c r="F485" s="20"/>
      <x:c r="G485" s="20"/>
      <x:c r="H485" s="20"/>
      <x:c r="I485" s="20"/>
      <x:c r="J485" s="20"/>
    </x:row>
    <x:row r="486">
      <x:c r="A486" s="50"/>
      <x:c r="B486" s="20"/>
      <x:c r="C486" s="20"/>
      <x:c r="D486" s="20"/>
      <x:c r="E486" s="52"/>
      <x:c r="F486" s="20"/>
      <x:c r="G486" s="20"/>
      <x:c r="H486" s="20"/>
      <x:c r="I486" s="20"/>
      <x:c r="J486" s="20"/>
    </x:row>
    <x:row r="487">
      <x:c r="A487" s="50"/>
      <x:c r="B487" s="20"/>
      <x:c r="C487" s="20"/>
      <x:c r="D487" s="20"/>
      <x:c r="E487" s="52"/>
      <x:c r="F487" s="20"/>
      <x:c r="G487" s="20"/>
      <x:c r="H487" s="20"/>
      <x:c r="I487" s="20"/>
      <x:c r="J487" s="20"/>
    </x:row>
    <x:row r="488">
      <x:c r="A488" s="50"/>
      <x:c r="B488" s="20"/>
      <x:c r="C488" s="20"/>
      <x:c r="D488" s="20"/>
      <x:c r="E488" s="52"/>
      <x:c r="F488" s="20"/>
      <x:c r="G488" s="20"/>
      <x:c r="H488" s="20"/>
      <x:c r="I488" s="20"/>
      <x:c r="J488" s="20"/>
    </x:row>
    <x:row r="489">
      <x:c r="A489" s="50"/>
      <x:c r="B489" s="20"/>
      <x:c r="C489" s="20"/>
      <x:c r="D489" s="20"/>
      <x:c r="E489" s="52"/>
      <x:c r="F489" s="20"/>
      <x:c r="G489" s="20"/>
      <x:c r="H489" s="20"/>
      <x:c r="I489" s="20"/>
      <x:c r="J489" s="20"/>
    </x:row>
    <x:row r="490">
      <x:c r="A490" s="50"/>
      <x:c r="B490" s="20"/>
      <x:c r="C490" s="20"/>
      <x:c r="D490" s="20"/>
      <x:c r="E490" s="52"/>
      <x:c r="F490" s="20"/>
      <x:c r="G490" s="20"/>
      <x:c r="H490" s="20"/>
      <x:c r="I490" s="20"/>
      <x:c r="J490" s="20"/>
    </x:row>
    <x:row r="491">
      <x:c r="A491" s="50"/>
      <x:c r="B491" s="20"/>
      <x:c r="C491" s="20"/>
      <x:c r="D491" s="20"/>
      <x:c r="E491" s="52"/>
      <x:c r="F491" s="20"/>
      <x:c r="G491" s="20"/>
      <x:c r="H491" s="20"/>
      <x:c r="I491" s="20"/>
      <x:c r="J491" s="20"/>
    </x:row>
    <x:row r="492">
      <x:c r="A492" s="50"/>
      <x:c r="B492" s="20"/>
      <x:c r="C492" s="20"/>
      <x:c r="D492" s="20"/>
      <x:c r="E492" s="52"/>
      <x:c r="F492" s="20"/>
      <x:c r="G492" s="20"/>
      <x:c r="H492" s="20"/>
      <x:c r="I492" s="20"/>
      <x:c r="J492" s="20"/>
    </x:row>
    <x:row r="493">
      <x:c r="A493" s="50"/>
      <x:c r="B493" s="20"/>
      <x:c r="C493" s="20"/>
      <x:c r="D493" s="20"/>
      <x:c r="E493" s="52"/>
      <x:c r="F493" s="20"/>
      <x:c r="G493" s="20"/>
      <x:c r="H493" s="20"/>
      <x:c r="I493" s="20"/>
      <x:c r="J493" s="20"/>
    </x:row>
    <x:row r="494">
      <x:c r="A494" s="50"/>
      <x:c r="B494" s="20"/>
      <x:c r="C494" s="20"/>
      <x:c r="D494" s="20"/>
      <x:c r="E494" s="52"/>
      <x:c r="F494" s="20"/>
      <x:c r="G494" s="20"/>
      <x:c r="H494" s="20"/>
      <x:c r="I494" s="20"/>
      <x:c r="J494" s="20"/>
    </x:row>
    <x:row r="495">
      <x:c r="A495" s="50"/>
      <x:c r="B495" s="20"/>
      <x:c r="C495" s="20"/>
      <x:c r="D495" s="20"/>
      <x:c r="E495" s="52"/>
      <x:c r="F495" s="20"/>
      <x:c r="G495" s="20"/>
      <x:c r="H495" s="20"/>
      <x:c r="I495" s="20"/>
      <x:c r="J495" s="20"/>
    </x:row>
    <x:row r="496">
      <x:c r="A496" s="50"/>
      <x:c r="B496" s="20"/>
      <x:c r="C496" s="20"/>
      <x:c r="D496" s="20"/>
      <x:c r="E496" s="52"/>
      <x:c r="F496" s="20"/>
      <x:c r="G496" s="20"/>
      <x:c r="H496" s="20"/>
      <x:c r="I496" s="20"/>
      <x:c r="J496" s="20"/>
    </x:row>
    <x:row r="497">
      <x:c r="A497" s="50"/>
      <x:c r="B497" s="20"/>
      <x:c r="C497" s="20"/>
      <x:c r="D497" s="20"/>
      <x:c r="E497" s="52"/>
      <x:c r="F497" s="20"/>
      <x:c r="G497" s="20"/>
      <x:c r="H497" s="20"/>
      <x:c r="I497" s="20"/>
      <x:c r="J497" s="20"/>
    </x:row>
    <x:row r="498">
      <x:c r="A498" s="50"/>
      <x:c r="B498" s="20"/>
      <x:c r="C498" s="20"/>
      <x:c r="D498" s="20"/>
      <x:c r="E498" s="52"/>
      <x:c r="F498" s="20"/>
      <x:c r="G498" s="20"/>
      <x:c r="H498" s="20"/>
      <x:c r="I498" s="20"/>
      <x:c r="J498" s="20"/>
    </x:row>
    <x:row r="499">
      <x:c r="A499" s="50"/>
      <x:c r="B499" s="20"/>
      <x:c r="C499" s="20"/>
      <x:c r="D499" s="20"/>
      <x:c r="E499" s="52"/>
      <x:c r="F499" s="20"/>
      <x:c r="G499" s="20"/>
      <x:c r="H499" s="20"/>
      <x:c r="I499" s="20"/>
      <x:c r="J499" s="20"/>
    </x:row>
    <x:row r="500">
      <x:c r="A500" s="50"/>
      <x:c r="B500" s="20"/>
      <x:c r="C500" s="20"/>
      <x:c r="D500" s="20"/>
      <x:c r="E500" s="52"/>
      <x:c r="F500" s="20"/>
      <x:c r="G500" s="20"/>
      <x:c r="H500" s="20"/>
      <x:c r="I500" s="20"/>
      <x:c r="J500" s="20"/>
    </x:row>
    <x:row r="501">
      <x:c r="A501" s="50"/>
      <x:c r="B501" s="20"/>
      <x:c r="C501" s="20"/>
      <x:c r="D501" s="20"/>
      <x:c r="E501" s="52"/>
      <x:c r="F501" s="20"/>
      <x:c r="G501" s="20"/>
      <x:c r="H501" s="20"/>
      <x:c r="I501" s="20"/>
      <x:c r="J501" s="20"/>
    </x:row>
  </x:sheetData>
  <x:dataValidations count="4">
    <x:dataValidation type="list" sqref="B2:B501">
      <x:formula1>"Receita,Despesa,Aporte objetivo,Retirada objetivo,Aporte reserva,Retirada reserva"</x:formula1>
    </x:dataValidation>
    <x:dataValidation type="list" sqref="C2:C501">
      <x:formula1>'Configurações'!$D$12:$D$25</x:formula1>
    </x:dataValidation>
    <x:dataValidation type="list" sqref="F2:F501">
      <x:formula1>"Recebido,Pago,Planejado,Realizado"</x:formula1>
    </x:dataValidation>
    <x:dataValidation type="list" sqref="I2:I501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feb4c10d0841d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7" hidden="0" customWidth="1"/>
    <x:col min="5" max="5" width="16" hidden="0" customWidth="1"/>
    <x:col min="6" max="6" width="14" hidden="0" customWidth="1"/>
    <x:col min="7" max="7" width="15" hidden="0" customWidth="1"/>
    <x:col min="8" max="8" width="11" hidden="0" customWidth="1"/>
    <x:col min="9" max="9" width="12" hidden="0" customWidth="1"/>
    <x:col min="10" max="10" width="22" hidden="0" customWidth="1"/>
    <x:col min="11" max="11" width="28" hidden="0" customWidth="1"/>
    <x:col min="12" max="12" width="13" hidden="0" customWidth="1"/>
    <x:col min="13" max="13" width="23" hidden="0" customWidth="1"/>
  </x:cols>
  <x:sheetData>
    <x:row r="1" ht="34" customHeight="1">
      <x:c r="A1" s="48" t="str">
        <x:v>Vencimento</x:v>
      </x:c>
      <x:c r="B1" s="48" t="str">
        <x:v>Conta</x:v>
      </x:c>
      <x:c r="C1" s="48" t="str">
        <x:v>Categoria</x:v>
      </x:c>
      <x:c r="D1" s="48" t="str">
        <x:v>Valor previsto (R$)</x:v>
      </x:c>
      <x:c r="E1" s="48" t="str">
        <x:v>Valor pago (R$)</x:v>
      </x:c>
      <x:c r="F1" s="48" t="str">
        <x:v>Situação</x:v>
      </x:c>
      <x:c r="G1" s="48" t="str">
        <x:v>Recorrência</x:v>
      </x:c>
      <x:c r="H1" s="48" t="str">
        <x:v>Dia fixo</x:v>
      </x:c>
      <x:c r="I1" s="48" t="str">
        <x:v>Essencial?</x:v>
      </x:c>
      <x:c r="J1" s="48" t="str">
        <x:v>Chave da ocorrência</x:v>
      </x:c>
      <x:c r="K1" s="48" t="str">
        <x:v>Observações</x:v>
      </x:c>
      <x:c r="L1" s="48" t="str">
        <x:v>Marca</x:v>
      </x:c>
      <x:c r="M1" s="21" t="str">
        <x:v>Valor pago contabilizado (auto)</x:v>
      </x:c>
    </x:row>
    <x:row r="2">
      <x:c r="A2" s="50" t="n">
        <x:v>46300</x:v>
      </x:c>
      <x:c r="B2" s="20" t="str">
        <x:v>Aluguel (EXEMPLO)</x:v>
      </x:c>
      <x:c r="C2" s="20" t="str">
        <x:v>Moradia</x:v>
      </x:c>
      <x:c r="D2" s="52" t="n">
        <x:v>850</x:v>
      </x:c>
      <x:c r="E2" s="52"/>
      <x:c r="F2" s="20" t="str">
        <x:v>Paga</x:v>
      </x:c>
      <x:c r="G2" s="20" t="str">
        <x:v>Mensal</x:v>
      </x:c>
      <x:c r="H2" s="20" t="n">
        <x:v>5</x:v>
      </x:c>
      <x:c r="I2" s="20" t="str">
        <x:v>Sim</x:v>
      </x:c>
      <x:c r="J2" s="20" t="str">
        <x:v>aluguel-2026-10</x:v>
      </x:c>
      <x:c r="K2" s="20" t="str">
        <x:v>Valor de demonstração</x:v>
      </x:c>
      <x:c r="L2" s="55" t="str">
        <x:v>EXEMPLO</x:v>
      </x:c>
      <x:c r="M2" s="52" t="n">
        <x:f>IF(F2="Paga",IF(E2="",D2,E2),0)</x:f>
        <x:v>850</x:v>
      </x:c>
    </x:row>
    <x:row r="3">
      <x:c r="A3" s="50" t="n">
        <x:v>46307</x:v>
      </x:c>
      <x:c r="B3" s="20" t="str">
        <x:v>Energia (EXEMPLO)</x:v>
      </x:c>
      <x:c r="C3" s="20" t="str">
        <x:v>Contas e serviços</x:v>
      </x:c>
      <x:c r="D3" s="52" t="n">
        <x:v>120</x:v>
      </x:c>
      <x:c r="E3" s="52"/>
      <x:c r="F3" s="20" t="str">
        <x:v>Pendente</x:v>
      </x:c>
      <x:c r="G3" s="20" t="str">
        <x:v>Mensal</x:v>
      </x:c>
      <x:c r="H3" s="20" t="n">
        <x:v>12</x:v>
      </x:c>
      <x:c r="I3" s="20" t="str">
        <x:v>Sim</x:v>
      </x:c>
      <x:c r="J3" s="20" t="str">
        <x:v>energia-2026-10</x:v>
      </x:c>
      <x:c r="K3" s="20" t="str">
        <x:v>Valor de demonstração</x:v>
      </x:c>
      <x:c r="L3" s="55" t="str">
        <x:v>EXEMPLO</x:v>
      </x:c>
      <x:c r="M3" s="52" t="n">
        <x:f>IF(F3="Paga",IF(E3="",D3,E3),0)</x:f>
        <x:v>0</x:v>
      </x:c>
    </x:row>
    <x:row r="4">
      <x:c r="A4" s="50" t="n">
        <x:v>46315</x:v>
      </x:c>
      <x:c r="B4" s="20" t="str">
        <x:v>Internet (EXEMPLO)</x:v>
      </x:c>
      <x:c r="C4" s="20" t="str">
        <x:v>Contas e serviços</x:v>
      </x:c>
      <x:c r="D4" s="52" t="n">
        <x:v>90</x:v>
      </x:c>
      <x:c r="E4" s="52"/>
      <x:c r="F4" s="20" t="str">
        <x:v>Pendente</x:v>
      </x:c>
      <x:c r="G4" s="20" t="str">
        <x:v>Mensal</x:v>
      </x:c>
      <x:c r="H4" s="20" t="n">
        <x:v>20</x:v>
      </x:c>
      <x:c r="I4" s="20" t="str">
        <x:v>Sim</x:v>
      </x:c>
      <x:c r="J4" s="20" t="str">
        <x:v>internet-2026-10</x:v>
      </x:c>
      <x:c r="K4" s="20" t="str">
        <x:v>Valor de demonstração</x:v>
      </x:c>
      <x:c r="L4" s="55" t="str">
        <x:v>EXEMPLO</x:v>
      </x:c>
      <x:c r="M4" s="52" t="n">
        <x:f>IF(F4="Paga",IF(E4="",D4,E4),0)</x:f>
        <x:v>0</x:v>
      </x:c>
    </x:row>
    <x:row r="5">
      <x:c r="A5" s="50"/>
      <x:c r="B5" s="20"/>
      <x:c r="C5" s="20"/>
      <x:c r="D5" s="52"/>
      <x:c r="E5" s="52"/>
      <x:c r="F5" s="20"/>
      <x:c r="G5" s="20"/>
      <x:c r="H5" s="20"/>
      <x:c r="I5" s="20"/>
      <x:c r="J5" s="20"/>
      <x:c r="K5" s="20"/>
      <x:c r="L5" s="20"/>
      <x:c r="M5" s="52" t="n">
        <x:f>IF(F5="Paga",IF(E5="",D5,E5),0)</x:f>
        <x:v>0</x:v>
      </x:c>
    </x:row>
    <x:row r="6">
      <x:c r="A6" s="50"/>
      <x:c r="B6" s="20"/>
      <x:c r="C6" s="20"/>
      <x:c r="D6" s="52"/>
      <x:c r="E6" s="52"/>
      <x:c r="F6" s="20"/>
      <x:c r="G6" s="20"/>
      <x:c r="H6" s="20"/>
      <x:c r="I6" s="20"/>
      <x:c r="J6" s="20"/>
      <x:c r="K6" s="20"/>
      <x:c r="L6" s="20"/>
      <x:c r="M6" s="52" t="n">
        <x:f>IF(F6="Paga",IF(E6="",D6,E6),0)</x:f>
        <x:v>0</x:v>
      </x:c>
    </x:row>
    <x:row r="7">
      <x:c r="A7" s="50"/>
      <x:c r="B7" s="20"/>
      <x:c r="C7" s="20"/>
      <x:c r="D7" s="52"/>
      <x:c r="E7" s="52"/>
      <x:c r="F7" s="20"/>
      <x:c r="G7" s="20"/>
      <x:c r="H7" s="20"/>
      <x:c r="I7" s="20"/>
      <x:c r="J7" s="20"/>
      <x:c r="K7" s="20"/>
      <x:c r="L7" s="20"/>
      <x:c r="M7" s="52" t="n">
        <x:f>IF(F7="Paga",IF(E7="",D7,E7),0)</x:f>
        <x:v>0</x:v>
      </x:c>
    </x:row>
    <x:row r="8">
      <x:c r="A8" s="50"/>
      <x:c r="B8" s="20"/>
      <x:c r="C8" s="20"/>
      <x:c r="D8" s="52"/>
      <x:c r="E8" s="52"/>
      <x:c r="F8" s="20"/>
      <x:c r="G8" s="20"/>
      <x:c r="H8" s="20"/>
      <x:c r="I8" s="20"/>
      <x:c r="J8" s="20"/>
      <x:c r="K8" s="20"/>
      <x:c r="L8" s="20"/>
      <x:c r="M8" s="52" t="n">
        <x:f>IF(F8="Paga",IF(E8="",D8,E8),0)</x:f>
        <x:v>0</x:v>
      </x:c>
    </x:row>
    <x:row r="9">
      <x:c r="A9" s="50"/>
      <x:c r="B9" s="20"/>
      <x:c r="C9" s="20"/>
      <x:c r="D9" s="52"/>
      <x:c r="E9" s="52"/>
      <x:c r="F9" s="20"/>
      <x:c r="G9" s="20"/>
      <x:c r="H9" s="20"/>
      <x:c r="I9" s="20"/>
      <x:c r="J9" s="20"/>
      <x:c r="K9" s="20"/>
      <x:c r="L9" s="20"/>
      <x:c r="M9" s="52" t="n">
        <x:f>IF(F9="Paga",IF(E9="",D9,E9),0)</x:f>
        <x:v>0</x:v>
      </x:c>
    </x:row>
    <x:row r="10">
      <x:c r="A10" s="50"/>
      <x:c r="B10" s="20"/>
      <x:c r="C10" s="20"/>
      <x:c r="D10" s="52"/>
      <x:c r="E10" s="52"/>
      <x:c r="F10" s="20"/>
      <x:c r="G10" s="20"/>
      <x:c r="H10" s="20"/>
      <x:c r="I10" s="20"/>
      <x:c r="J10" s="20"/>
      <x:c r="K10" s="20"/>
      <x:c r="L10" s="20"/>
      <x:c r="M10" s="52" t="n">
        <x:f>IF(F10="Paga",IF(E10="",D10,E10),0)</x:f>
        <x:v>0</x:v>
      </x:c>
    </x:row>
    <x:row r="11">
      <x:c r="A11" s="50"/>
      <x:c r="B11" s="20"/>
      <x:c r="C11" s="20"/>
      <x:c r="D11" s="52"/>
      <x:c r="E11" s="52"/>
      <x:c r="F11" s="20"/>
      <x:c r="G11" s="20"/>
      <x:c r="H11" s="20"/>
      <x:c r="I11" s="20"/>
      <x:c r="J11" s="20"/>
      <x:c r="K11" s="20"/>
      <x:c r="L11" s="20"/>
      <x:c r="M11" s="52" t="n">
        <x:f>IF(F11="Paga",IF(E11="",D11,E11),0)</x:f>
        <x:v>0</x:v>
      </x:c>
    </x:row>
    <x:row r="12">
      <x:c r="A12" s="50"/>
      <x:c r="B12" s="20"/>
      <x:c r="C12" s="20"/>
      <x:c r="D12" s="52"/>
      <x:c r="E12" s="52"/>
      <x:c r="F12" s="20"/>
      <x:c r="G12" s="20"/>
      <x:c r="H12" s="20"/>
      <x:c r="I12" s="20"/>
      <x:c r="J12" s="20"/>
      <x:c r="K12" s="20"/>
      <x:c r="L12" s="20"/>
      <x:c r="M12" s="52" t="n">
        <x:f>IF(F12="Paga",IF(E12="",D12,E12),0)</x:f>
        <x:v>0</x:v>
      </x:c>
    </x:row>
    <x:row r="13">
      <x:c r="A13" s="50"/>
      <x:c r="B13" s="20"/>
      <x:c r="C13" s="20"/>
      <x:c r="D13" s="52"/>
      <x:c r="E13" s="52"/>
      <x:c r="F13" s="20"/>
      <x:c r="G13" s="20"/>
      <x:c r="H13" s="20"/>
      <x:c r="I13" s="20"/>
      <x:c r="J13" s="20"/>
      <x:c r="K13" s="20"/>
      <x:c r="L13" s="20"/>
      <x:c r="M13" s="52" t="n">
        <x:f>IF(F13="Paga",IF(E13="",D13,E13),0)</x:f>
        <x:v>0</x:v>
      </x:c>
    </x:row>
    <x:row r="14">
      <x:c r="A14" s="50"/>
      <x:c r="B14" s="20"/>
      <x:c r="C14" s="20"/>
      <x:c r="D14" s="52"/>
      <x:c r="E14" s="52"/>
      <x:c r="F14" s="20"/>
      <x:c r="G14" s="20"/>
      <x:c r="H14" s="20"/>
      <x:c r="I14" s="20"/>
      <x:c r="J14" s="20"/>
      <x:c r="K14" s="20"/>
      <x:c r="L14" s="20"/>
      <x:c r="M14" s="52" t="n">
        <x:f>IF(F14="Paga",IF(E14="",D14,E14),0)</x:f>
        <x:v>0</x:v>
      </x:c>
    </x:row>
    <x:row r="15">
      <x:c r="A15" s="50"/>
      <x:c r="B15" s="20"/>
      <x:c r="C15" s="20"/>
      <x:c r="D15" s="52"/>
      <x:c r="E15" s="52"/>
      <x:c r="F15" s="20"/>
      <x:c r="G15" s="20"/>
      <x:c r="H15" s="20"/>
      <x:c r="I15" s="20"/>
      <x:c r="J15" s="20"/>
      <x:c r="K15" s="20"/>
      <x:c r="L15" s="20"/>
      <x:c r="M15" s="52" t="n">
        <x:f>IF(F15="Paga",IF(E15="",D15,E15),0)</x:f>
        <x:v>0</x:v>
      </x:c>
    </x:row>
    <x:row r="16">
      <x:c r="A16" s="50"/>
      <x:c r="B16" s="20"/>
      <x:c r="C16" s="20"/>
      <x:c r="D16" s="52"/>
      <x:c r="E16" s="52"/>
      <x:c r="F16" s="20"/>
      <x:c r="G16" s="20"/>
      <x:c r="H16" s="20"/>
      <x:c r="I16" s="20"/>
      <x:c r="J16" s="20"/>
      <x:c r="K16" s="20"/>
      <x:c r="L16" s="20"/>
      <x:c r="M16" s="52" t="n">
        <x:f>IF(F16="Paga",IF(E16="",D16,E16),0)</x:f>
        <x:v>0</x:v>
      </x:c>
    </x:row>
    <x:row r="17">
      <x:c r="A17" s="50"/>
      <x:c r="B17" s="20"/>
      <x:c r="C17" s="20"/>
      <x:c r="D17" s="52"/>
      <x:c r="E17" s="52"/>
      <x:c r="F17" s="20"/>
      <x:c r="G17" s="20"/>
      <x:c r="H17" s="20"/>
      <x:c r="I17" s="20"/>
      <x:c r="J17" s="20"/>
      <x:c r="K17" s="20"/>
      <x:c r="L17" s="20"/>
      <x:c r="M17" s="52" t="n">
        <x:f>IF(F17="Paga",IF(E17="",D17,E17),0)</x:f>
        <x:v>0</x:v>
      </x:c>
    </x:row>
    <x:row r="18">
      <x:c r="A18" s="50"/>
      <x:c r="B18" s="20"/>
      <x:c r="C18" s="20"/>
      <x:c r="D18" s="52"/>
      <x:c r="E18" s="52"/>
      <x:c r="F18" s="20"/>
      <x:c r="G18" s="20"/>
      <x:c r="H18" s="20"/>
      <x:c r="I18" s="20"/>
      <x:c r="J18" s="20"/>
      <x:c r="K18" s="20"/>
      <x:c r="L18" s="20"/>
      <x:c r="M18" s="52" t="n">
        <x:f>IF(F18="Paga",IF(E18="",D18,E18),0)</x:f>
        <x:v>0</x:v>
      </x:c>
    </x:row>
    <x:row r="19">
      <x:c r="A19" s="50"/>
      <x:c r="B19" s="20"/>
      <x:c r="C19" s="20"/>
      <x:c r="D19" s="52"/>
      <x:c r="E19" s="52"/>
      <x:c r="F19" s="20"/>
      <x:c r="G19" s="20"/>
      <x:c r="H19" s="20"/>
      <x:c r="I19" s="20"/>
      <x:c r="J19" s="20"/>
      <x:c r="K19" s="20"/>
      <x:c r="L19" s="20"/>
      <x:c r="M19" s="52" t="n">
        <x:f>IF(F19="Paga",IF(E19="",D19,E19),0)</x:f>
        <x:v>0</x:v>
      </x:c>
    </x:row>
    <x:row r="20">
      <x:c r="A20" s="50"/>
      <x:c r="B20" s="20"/>
      <x:c r="C20" s="20"/>
      <x:c r="D20" s="52"/>
      <x:c r="E20" s="52"/>
      <x:c r="F20" s="20"/>
      <x:c r="G20" s="20"/>
      <x:c r="H20" s="20"/>
      <x:c r="I20" s="20"/>
      <x:c r="J20" s="20"/>
      <x:c r="K20" s="20"/>
      <x:c r="L20" s="20"/>
      <x:c r="M20" s="52" t="n">
        <x:f>IF(F20="Paga",IF(E20="",D20,E20),0)</x:f>
        <x:v>0</x:v>
      </x:c>
    </x:row>
    <x:row r="21">
      <x:c r="A21" s="50"/>
      <x:c r="B21" s="20"/>
      <x:c r="C21" s="20"/>
      <x:c r="D21" s="52"/>
      <x:c r="E21" s="52"/>
      <x:c r="F21" s="20"/>
      <x:c r="G21" s="20"/>
      <x:c r="H21" s="20"/>
      <x:c r="I21" s="20"/>
      <x:c r="J21" s="20"/>
      <x:c r="K21" s="20"/>
      <x:c r="L21" s="20"/>
      <x:c r="M21" s="52" t="n">
        <x:f>IF(F21="Paga",IF(E21="",D21,E21),0)</x:f>
        <x:v>0</x:v>
      </x:c>
    </x:row>
    <x:row r="22">
      <x:c r="A22" s="50"/>
      <x:c r="B22" s="20"/>
      <x:c r="C22" s="20"/>
      <x:c r="D22" s="52"/>
      <x:c r="E22" s="52"/>
      <x:c r="F22" s="20"/>
      <x:c r="G22" s="20"/>
      <x:c r="H22" s="20"/>
      <x:c r="I22" s="20"/>
      <x:c r="J22" s="20"/>
      <x:c r="K22" s="20"/>
      <x:c r="L22" s="20"/>
      <x:c r="M22" s="52" t="n">
        <x:f>IF(F22="Paga",IF(E22="",D22,E22),0)</x:f>
        <x:v>0</x:v>
      </x:c>
    </x:row>
    <x:row r="23">
      <x:c r="A23" s="50"/>
      <x:c r="B23" s="20"/>
      <x:c r="C23" s="20"/>
      <x:c r="D23" s="52"/>
      <x:c r="E23" s="52"/>
      <x:c r="F23" s="20"/>
      <x:c r="G23" s="20"/>
      <x:c r="H23" s="20"/>
      <x:c r="I23" s="20"/>
      <x:c r="J23" s="20"/>
      <x:c r="K23" s="20"/>
      <x:c r="L23" s="20"/>
      <x:c r="M23" s="52" t="n">
        <x:f>IF(F23="Paga",IF(E23="",D23,E23),0)</x:f>
        <x:v>0</x:v>
      </x:c>
    </x:row>
    <x:row r="24">
      <x:c r="A24" s="50"/>
      <x:c r="B24" s="20"/>
      <x:c r="C24" s="20"/>
      <x:c r="D24" s="52"/>
      <x:c r="E24" s="52"/>
      <x:c r="F24" s="20"/>
      <x:c r="G24" s="20"/>
      <x:c r="H24" s="20"/>
      <x:c r="I24" s="20"/>
      <x:c r="J24" s="20"/>
      <x:c r="K24" s="20"/>
      <x:c r="L24" s="20"/>
      <x:c r="M24" s="52" t="n">
        <x:f>IF(F24="Paga",IF(E24="",D24,E24),0)</x:f>
        <x:v>0</x:v>
      </x:c>
    </x:row>
    <x:row r="25">
      <x:c r="A25" s="50"/>
      <x:c r="B25" s="20"/>
      <x:c r="C25" s="20"/>
      <x:c r="D25" s="52"/>
      <x:c r="E25" s="52"/>
      <x:c r="F25" s="20"/>
      <x:c r="G25" s="20"/>
      <x:c r="H25" s="20"/>
      <x:c r="I25" s="20"/>
      <x:c r="J25" s="20"/>
      <x:c r="K25" s="20"/>
      <x:c r="L25" s="20"/>
      <x:c r="M25" s="52" t="n">
        <x:f>IF(F25="Paga",IF(E25="",D25,E25),0)</x:f>
        <x:v>0</x:v>
      </x:c>
    </x:row>
    <x:row r="26">
      <x:c r="A26" s="50"/>
      <x:c r="B26" s="20"/>
      <x:c r="C26" s="20"/>
      <x:c r="D26" s="52"/>
      <x:c r="E26" s="52"/>
      <x:c r="F26" s="20"/>
      <x:c r="G26" s="20"/>
      <x:c r="H26" s="20"/>
      <x:c r="I26" s="20"/>
      <x:c r="J26" s="20"/>
      <x:c r="K26" s="20"/>
      <x:c r="L26" s="20"/>
      <x:c r="M26" s="52" t="n">
        <x:f>IF(F26="Paga",IF(E26="",D26,E26),0)</x:f>
        <x:v>0</x:v>
      </x:c>
    </x:row>
    <x:row r="27">
      <x:c r="A27" s="50"/>
      <x:c r="B27" s="20"/>
      <x:c r="C27" s="20"/>
      <x:c r="D27" s="52"/>
      <x:c r="E27" s="52"/>
      <x:c r="F27" s="20"/>
      <x:c r="G27" s="20"/>
      <x:c r="H27" s="20"/>
      <x:c r="I27" s="20"/>
      <x:c r="J27" s="20"/>
      <x:c r="K27" s="20"/>
      <x:c r="L27" s="20"/>
      <x:c r="M27" s="52" t="n">
        <x:f>IF(F27="Paga",IF(E27="",D27,E27),0)</x:f>
        <x:v>0</x:v>
      </x:c>
    </x:row>
    <x:row r="28">
      <x:c r="A28" s="50"/>
      <x:c r="B28" s="20"/>
      <x:c r="C28" s="20"/>
      <x:c r="D28" s="52"/>
      <x:c r="E28" s="52"/>
      <x:c r="F28" s="20"/>
      <x:c r="G28" s="20"/>
      <x:c r="H28" s="20"/>
      <x:c r="I28" s="20"/>
      <x:c r="J28" s="20"/>
      <x:c r="K28" s="20"/>
      <x:c r="L28" s="20"/>
      <x:c r="M28" s="52" t="n">
        <x:f>IF(F28="Paga",IF(E28="",D28,E28),0)</x:f>
        <x:v>0</x:v>
      </x:c>
    </x:row>
    <x:row r="29">
      <x:c r="A29" s="50"/>
      <x:c r="B29" s="20"/>
      <x:c r="C29" s="20"/>
      <x:c r="D29" s="52"/>
      <x:c r="E29" s="52"/>
      <x:c r="F29" s="20"/>
      <x:c r="G29" s="20"/>
      <x:c r="H29" s="20"/>
      <x:c r="I29" s="20"/>
      <x:c r="J29" s="20"/>
      <x:c r="K29" s="20"/>
      <x:c r="L29" s="20"/>
      <x:c r="M29" s="52" t="n">
        <x:f>IF(F29="Paga",IF(E29="",D29,E29),0)</x:f>
        <x:v>0</x:v>
      </x:c>
    </x:row>
    <x:row r="30">
      <x:c r="A30" s="50"/>
      <x:c r="B30" s="20"/>
      <x:c r="C30" s="20"/>
      <x:c r="D30" s="52"/>
      <x:c r="E30" s="52"/>
      <x:c r="F30" s="20"/>
      <x:c r="G30" s="20"/>
      <x:c r="H30" s="20"/>
      <x:c r="I30" s="20"/>
      <x:c r="J30" s="20"/>
      <x:c r="K30" s="20"/>
      <x:c r="L30" s="20"/>
      <x:c r="M30" s="52" t="n">
        <x:f>IF(F30="Paga",IF(E30="",D30,E30),0)</x:f>
        <x:v>0</x:v>
      </x:c>
    </x:row>
    <x:row r="31">
      <x:c r="A31" s="50"/>
      <x:c r="B31" s="20"/>
      <x:c r="C31" s="20"/>
      <x:c r="D31" s="52"/>
      <x:c r="E31" s="52"/>
      <x:c r="F31" s="20"/>
      <x:c r="G31" s="20"/>
      <x:c r="H31" s="20"/>
      <x:c r="I31" s="20"/>
      <x:c r="J31" s="20"/>
      <x:c r="K31" s="20"/>
      <x:c r="L31" s="20"/>
      <x:c r="M31" s="52" t="n">
        <x:f>IF(F31="Paga",IF(E31="",D31,E31),0)</x:f>
        <x:v>0</x:v>
      </x:c>
    </x:row>
    <x:row r="32">
      <x:c r="A32" s="50"/>
      <x:c r="B32" s="20"/>
      <x:c r="C32" s="20"/>
      <x:c r="D32" s="52"/>
      <x:c r="E32" s="52"/>
      <x:c r="F32" s="20"/>
      <x:c r="G32" s="20"/>
      <x:c r="H32" s="20"/>
      <x:c r="I32" s="20"/>
      <x:c r="J32" s="20"/>
      <x:c r="K32" s="20"/>
      <x:c r="L32" s="20"/>
      <x:c r="M32" s="52" t="n">
        <x:f>IF(F32="Paga",IF(E32="",D32,E32),0)</x:f>
        <x:v>0</x:v>
      </x:c>
    </x:row>
    <x:row r="33">
      <x:c r="A33" s="50"/>
      <x:c r="B33" s="20"/>
      <x:c r="C33" s="20"/>
      <x:c r="D33" s="52"/>
      <x:c r="E33" s="52"/>
      <x:c r="F33" s="20"/>
      <x:c r="G33" s="20"/>
      <x:c r="H33" s="20"/>
      <x:c r="I33" s="20"/>
      <x:c r="J33" s="20"/>
      <x:c r="K33" s="20"/>
      <x:c r="L33" s="20"/>
      <x:c r="M33" s="52" t="n">
        <x:f>IF(F33="Paga",IF(E33="",D33,E33),0)</x:f>
        <x:v>0</x:v>
      </x:c>
    </x:row>
    <x:row r="34">
      <x:c r="A34" s="50"/>
      <x:c r="B34" s="20"/>
      <x:c r="C34" s="20"/>
      <x:c r="D34" s="52"/>
      <x:c r="E34" s="52"/>
      <x:c r="F34" s="20"/>
      <x:c r="G34" s="20"/>
      <x:c r="H34" s="20"/>
      <x:c r="I34" s="20"/>
      <x:c r="J34" s="20"/>
      <x:c r="K34" s="20"/>
      <x:c r="L34" s="20"/>
      <x:c r="M34" s="52" t="n">
        <x:f>IF(F34="Paga",IF(E34="",D34,E34),0)</x:f>
        <x:v>0</x:v>
      </x:c>
    </x:row>
    <x:row r="35">
      <x:c r="A35" s="50"/>
      <x:c r="B35" s="20"/>
      <x:c r="C35" s="20"/>
      <x:c r="D35" s="52"/>
      <x:c r="E35" s="52"/>
      <x:c r="F35" s="20"/>
      <x:c r="G35" s="20"/>
      <x:c r="H35" s="20"/>
      <x:c r="I35" s="20"/>
      <x:c r="J35" s="20"/>
      <x:c r="K35" s="20"/>
      <x:c r="L35" s="20"/>
      <x:c r="M35" s="52" t="n">
        <x:f>IF(F35="Paga",IF(E35="",D35,E35),0)</x:f>
        <x:v>0</x:v>
      </x:c>
    </x:row>
    <x:row r="36">
      <x:c r="A36" s="50"/>
      <x:c r="B36" s="20"/>
      <x:c r="C36" s="20"/>
      <x:c r="D36" s="52"/>
      <x:c r="E36" s="52"/>
      <x:c r="F36" s="20"/>
      <x:c r="G36" s="20"/>
      <x:c r="H36" s="20"/>
      <x:c r="I36" s="20"/>
      <x:c r="J36" s="20"/>
      <x:c r="K36" s="20"/>
      <x:c r="L36" s="20"/>
      <x:c r="M36" s="52" t="n">
        <x:f>IF(F36="Paga",IF(E36="",D36,E36),0)</x:f>
        <x:v>0</x:v>
      </x:c>
    </x:row>
    <x:row r="37">
      <x:c r="A37" s="50"/>
      <x:c r="B37" s="20"/>
      <x:c r="C37" s="20"/>
      <x:c r="D37" s="52"/>
      <x:c r="E37" s="52"/>
      <x:c r="F37" s="20"/>
      <x:c r="G37" s="20"/>
      <x:c r="H37" s="20"/>
      <x:c r="I37" s="20"/>
      <x:c r="J37" s="20"/>
      <x:c r="K37" s="20"/>
      <x:c r="L37" s="20"/>
      <x:c r="M37" s="52" t="n">
        <x:f>IF(F37="Paga",IF(E37="",D37,E37),0)</x:f>
        <x:v>0</x:v>
      </x:c>
    </x:row>
    <x:row r="38">
      <x:c r="A38" s="50"/>
      <x:c r="B38" s="20"/>
      <x:c r="C38" s="20"/>
      <x:c r="D38" s="52"/>
      <x:c r="E38" s="52"/>
      <x:c r="F38" s="20"/>
      <x:c r="G38" s="20"/>
      <x:c r="H38" s="20"/>
      <x:c r="I38" s="20"/>
      <x:c r="J38" s="20"/>
      <x:c r="K38" s="20"/>
      <x:c r="L38" s="20"/>
      <x:c r="M38" s="52" t="n">
        <x:f>IF(F38="Paga",IF(E38="",D38,E38),0)</x:f>
        <x:v>0</x:v>
      </x:c>
    </x:row>
    <x:row r="39">
      <x:c r="A39" s="50"/>
      <x:c r="B39" s="20"/>
      <x:c r="C39" s="20"/>
      <x:c r="D39" s="52"/>
      <x:c r="E39" s="52"/>
      <x:c r="F39" s="20"/>
      <x:c r="G39" s="20"/>
      <x:c r="H39" s="20"/>
      <x:c r="I39" s="20"/>
      <x:c r="J39" s="20"/>
      <x:c r="K39" s="20"/>
      <x:c r="L39" s="20"/>
      <x:c r="M39" s="52" t="n">
        <x:f>IF(F39="Paga",IF(E39="",D39,E39),0)</x:f>
        <x:v>0</x:v>
      </x:c>
    </x:row>
    <x:row r="40">
      <x:c r="A40" s="50"/>
      <x:c r="B40" s="20"/>
      <x:c r="C40" s="20"/>
      <x:c r="D40" s="52"/>
      <x:c r="E40" s="52"/>
      <x:c r="F40" s="20"/>
      <x:c r="G40" s="20"/>
      <x:c r="H40" s="20"/>
      <x:c r="I40" s="20"/>
      <x:c r="J40" s="20"/>
      <x:c r="K40" s="20"/>
      <x:c r="L40" s="20"/>
      <x:c r="M40" s="52" t="n">
        <x:f>IF(F40="Paga",IF(E40="",D40,E40),0)</x:f>
        <x:v>0</x:v>
      </x:c>
    </x:row>
    <x:row r="41">
      <x:c r="A41" s="50"/>
      <x:c r="B41" s="20"/>
      <x:c r="C41" s="20"/>
      <x:c r="D41" s="52"/>
      <x:c r="E41" s="52"/>
      <x:c r="F41" s="20"/>
      <x:c r="G41" s="20"/>
      <x:c r="H41" s="20"/>
      <x:c r="I41" s="20"/>
      <x:c r="J41" s="20"/>
      <x:c r="K41" s="20"/>
      <x:c r="L41" s="20"/>
      <x:c r="M41" s="52" t="n">
        <x:f>IF(F41="Paga",IF(E41="",D41,E41),0)</x:f>
        <x:v>0</x:v>
      </x:c>
    </x:row>
    <x:row r="42">
      <x:c r="A42" s="50"/>
      <x:c r="B42" s="20"/>
      <x:c r="C42" s="20"/>
      <x:c r="D42" s="52"/>
      <x:c r="E42" s="52"/>
      <x:c r="F42" s="20"/>
      <x:c r="G42" s="20"/>
      <x:c r="H42" s="20"/>
      <x:c r="I42" s="20"/>
      <x:c r="J42" s="20"/>
      <x:c r="K42" s="20"/>
      <x:c r="L42" s="20"/>
      <x:c r="M42" s="52" t="n">
        <x:f>IF(F42="Paga",IF(E42="",D42,E42),0)</x:f>
        <x:v>0</x:v>
      </x:c>
    </x:row>
    <x:row r="43">
      <x:c r="A43" s="50"/>
      <x:c r="B43" s="20"/>
      <x:c r="C43" s="20"/>
      <x:c r="D43" s="52"/>
      <x:c r="E43" s="52"/>
      <x:c r="F43" s="20"/>
      <x:c r="G43" s="20"/>
      <x:c r="H43" s="20"/>
      <x:c r="I43" s="20"/>
      <x:c r="J43" s="20"/>
      <x:c r="K43" s="20"/>
      <x:c r="L43" s="20"/>
      <x:c r="M43" s="52" t="n">
        <x:f>IF(F43="Paga",IF(E43="",D43,E43),0)</x:f>
        <x:v>0</x:v>
      </x:c>
    </x:row>
    <x:row r="44">
      <x:c r="A44" s="50"/>
      <x:c r="B44" s="20"/>
      <x:c r="C44" s="20"/>
      <x:c r="D44" s="52"/>
      <x:c r="E44" s="52"/>
      <x:c r="F44" s="20"/>
      <x:c r="G44" s="20"/>
      <x:c r="H44" s="20"/>
      <x:c r="I44" s="20"/>
      <x:c r="J44" s="20"/>
      <x:c r="K44" s="20"/>
      <x:c r="L44" s="20"/>
      <x:c r="M44" s="52" t="n">
        <x:f>IF(F44="Paga",IF(E44="",D44,E44),0)</x:f>
        <x:v>0</x:v>
      </x:c>
    </x:row>
    <x:row r="45">
      <x:c r="A45" s="50"/>
      <x:c r="B45" s="20"/>
      <x:c r="C45" s="20"/>
      <x:c r="D45" s="52"/>
      <x:c r="E45" s="52"/>
      <x:c r="F45" s="20"/>
      <x:c r="G45" s="20"/>
      <x:c r="H45" s="20"/>
      <x:c r="I45" s="20"/>
      <x:c r="J45" s="20"/>
      <x:c r="K45" s="20"/>
      <x:c r="L45" s="20"/>
      <x:c r="M45" s="52" t="n">
        <x:f>IF(F45="Paga",IF(E45="",D45,E45),0)</x:f>
        <x:v>0</x:v>
      </x:c>
    </x:row>
    <x:row r="46">
      <x:c r="A46" s="50"/>
      <x:c r="B46" s="20"/>
      <x:c r="C46" s="20"/>
      <x:c r="D46" s="52"/>
      <x:c r="E46" s="52"/>
      <x:c r="F46" s="20"/>
      <x:c r="G46" s="20"/>
      <x:c r="H46" s="20"/>
      <x:c r="I46" s="20"/>
      <x:c r="J46" s="20"/>
      <x:c r="K46" s="20"/>
      <x:c r="L46" s="20"/>
      <x:c r="M46" s="52" t="n">
        <x:f>IF(F46="Paga",IF(E46="",D46,E46),0)</x:f>
        <x:v>0</x:v>
      </x:c>
    </x:row>
    <x:row r="47">
      <x:c r="A47" s="50"/>
      <x:c r="B47" s="20"/>
      <x:c r="C47" s="20"/>
      <x:c r="D47" s="52"/>
      <x:c r="E47" s="52"/>
      <x:c r="F47" s="20"/>
      <x:c r="G47" s="20"/>
      <x:c r="H47" s="20"/>
      <x:c r="I47" s="20"/>
      <x:c r="J47" s="20"/>
      <x:c r="K47" s="20"/>
      <x:c r="L47" s="20"/>
      <x:c r="M47" s="52" t="n">
        <x:f>IF(F47="Paga",IF(E47="",D47,E47),0)</x:f>
        <x:v>0</x:v>
      </x:c>
    </x:row>
    <x:row r="48">
      <x:c r="A48" s="50"/>
      <x:c r="B48" s="20"/>
      <x:c r="C48" s="20"/>
      <x:c r="D48" s="52"/>
      <x:c r="E48" s="52"/>
      <x:c r="F48" s="20"/>
      <x:c r="G48" s="20"/>
      <x:c r="H48" s="20"/>
      <x:c r="I48" s="20"/>
      <x:c r="J48" s="20"/>
      <x:c r="K48" s="20"/>
      <x:c r="L48" s="20"/>
      <x:c r="M48" s="52" t="n">
        <x:f>IF(F48="Paga",IF(E48="",D48,E48),0)</x:f>
        <x:v>0</x:v>
      </x:c>
    </x:row>
    <x:row r="49">
      <x:c r="A49" s="50"/>
      <x:c r="B49" s="20"/>
      <x:c r="C49" s="20"/>
      <x:c r="D49" s="52"/>
      <x:c r="E49" s="52"/>
      <x:c r="F49" s="20"/>
      <x:c r="G49" s="20"/>
      <x:c r="H49" s="20"/>
      <x:c r="I49" s="20"/>
      <x:c r="J49" s="20"/>
      <x:c r="K49" s="20"/>
      <x:c r="L49" s="20"/>
      <x:c r="M49" s="52" t="n">
        <x:f>IF(F49="Paga",IF(E49="",D49,E49),0)</x:f>
        <x:v>0</x:v>
      </x:c>
    </x:row>
    <x:row r="50">
      <x:c r="A50" s="50"/>
      <x:c r="B50" s="20"/>
      <x:c r="C50" s="20"/>
      <x:c r="D50" s="52"/>
      <x:c r="E50" s="52"/>
      <x:c r="F50" s="20"/>
      <x:c r="G50" s="20"/>
      <x:c r="H50" s="20"/>
      <x:c r="I50" s="20"/>
      <x:c r="J50" s="20"/>
      <x:c r="K50" s="20"/>
      <x:c r="L50" s="20"/>
      <x:c r="M50" s="52" t="n">
        <x:f>IF(F50="Paga",IF(E50="",D50,E50),0)</x:f>
        <x:v>0</x:v>
      </x:c>
    </x:row>
    <x:row r="51">
      <x:c r="A51" s="50"/>
      <x:c r="B51" s="20"/>
      <x:c r="C51" s="20"/>
      <x:c r="D51" s="52"/>
      <x:c r="E51" s="52"/>
      <x:c r="F51" s="20"/>
      <x:c r="G51" s="20"/>
      <x:c r="H51" s="20"/>
      <x:c r="I51" s="20"/>
      <x:c r="J51" s="20"/>
      <x:c r="K51" s="20"/>
      <x:c r="L51" s="20"/>
      <x:c r="M51" s="52" t="n">
        <x:f>IF(F51="Paga",IF(E51="",D51,E51),0)</x:f>
        <x:v>0</x:v>
      </x:c>
    </x:row>
    <x:row r="52">
      <x:c r="A52" s="50"/>
      <x:c r="B52" s="20"/>
      <x:c r="C52" s="20"/>
      <x:c r="D52" s="52"/>
      <x:c r="E52" s="52"/>
      <x:c r="F52" s="20"/>
      <x:c r="G52" s="20"/>
      <x:c r="H52" s="20"/>
      <x:c r="I52" s="20"/>
      <x:c r="J52" s="20"/>
      <x:c r="K52" s="20"/>
      <x:c r="L52" s="20"/>
      <x:c r="M52" s="52" t="n">
        <x:f>IF(F52="Paga",IF(E52="",D52,E52),0)</x:f>
        <x:v>0</x:v>
      </x:c>
    </x:row>
    <x:row r="53">
      <x:c r="A53" s="50"/>
      <x:c r="B53" s="20"/>
      <x:c r="C53" s="20"/>
      <x:c r="D53" s="52"/>
      <x:c r="E53" s="52"/>
      <x:c r="F53" s="20"/>
      <x:c r="G53" s="20"/>
      <x:c r="H53" s="20"/>
      <x:c r="I53" s="20"/>
      <x:c r="J53" s="20"/>
      <x:c r="K53" s="20"/>
      <x:c r="L53" s="20"/>
      <x:c r="M53" s="52" t="n">
        <x:f>IF(F53="Paga",IF(E53="",D53,E53),0)</x:f>
        <x:v>0</x:v>
      </x:c>
    </x:row>
    <x:row r="54">
      <x:c r="A54" s="50"/>
      <x:c r="B54" s="20"/>
      <x:c r="C54" s="20"/>
      <x:c r="D54" s="52"/>
      <x:c r="E54" s="52"/>
      <x:c r="F54" s="20"/>
      <x:c r="G54" s="20"/>
      <x:c r="H54" s="20"/>
      <x:c r="I54" s="20"/>
      <x:c r="J54" s="20"/>
      <x:c r="K54" s="20"/>
      <x:c r="L54" s="20"/>
      <x:c r="M54" s="52" t="n">
        <x:f>IF(F54="Paga",IF(E54="",D54,E54),0)</x:f>
        <x:v>0</x:v>
      </x:c>
    </x:row>
    <x:row r="55">
      <x:c r="A55" s="50"/>
      <x:c r="B55" s="20"/>
      <x:c r="C55" s="20"/>
      <x:c r="D55" s="52"/>
      <x:c r="E55" s="52"/>
      <x:c r="F55" s="20"/>
      <x:c r="G55" s="20"/>
      <x:c r="H55" s="20"/>
      <x:c r="I55" s="20"/>
      <x:c r="J55" s="20"/>
      <x:c r="K55" s="20"/>
      <x:c r="L55" s="20"/>
      <x:c r="M55" s="52" t="n">
        <x:f>IF(F55="Paga",IF(E55="",D55,E55),0)</x:f>
        <x:v>0</x:v>
      </x:c>
    </x:row>
    <x:row r="56">
      <x:c r="A56" s="50"/>
      <x:c r="B56" s="20"/>
      <x:c r="C56" s="20"/>
      <x:c r="D56" s="52"/>
      <x:c r="E56" s="52"/>
      <x:c r="F56" s="20"/>
      <x:c r="G56" s="20"/>
      <x:c r="H56" s="20"/>
      <x:c r="I56" s="20"/>
      <x:c r="J56" s="20"/>
      <x:c r="K56" s="20"/>
      <x:c r="L56" s="20"/>
      <x:c r="M56" s="52" t="n">
        <x:f>IF(F56="Paga",IF(E56="",D56,E56),0)</x:f>
        <x:v>0</x:v>
      </x:c>
    </x:row>
    <x:row r="57">
      <x:c r="A57" s="50"/>
      <x:c r="B57" s="20"/>
      <x:c r="C57" s="20"/>
      <x:c r="D57" s="52"/>
      <x:c r="E57" s="52"/>
      <x:c r="F57" s="20"/>
      <x:c r="G57" s="20"/>
      <x:c r="H57" s="20"/>
      <x:c r="I57" s="20"/>
      <x:c r="J57" s="20"/>
      <x:c r="K57" s="20"/>
      <x:c r="L57" s="20"/>
      <x:c r="M57" s="52" t="n">
        <x:f>IF(F57="Paga",IF(E57="",D57,E57),0)</x:f>
        <x:v>0</x:v>
      </x:c>
    </x:row>
    <x:row r="58">
      <x:c r="A58" s="50"/>
      <x:c r="B58" s="20"/>
      <x:c r="C58" s="20"/>
      <x:c r="D58" s="52"/>
      <x:c r="E58" s="52"/>
      <x:c r="F58" s="20"/>
      <x:c r="G58" s="20"/>
      <x:c r="H58" s="20"/>
      <x:c r="I58" s="20"/>
      <x:c r="J58" s="20"/>
      <x:c r="K58" s="20"/>
      <x:c r="L58" s="20"/>
      <x:c r="M58" s="52" t="n">
        <x:f>IF(F58="Paga",IF(E58="",D58,E58),0)</x:f>
        <x:v>0</x:v>
      </x:c>
    </x:row>
    <x:row r="59">
      <x:c r="A59" s="50"/>
      <x:c r="B59" s="20"/>
      <x:c r="C59" s="20"/>
      <x:c r="D59" s="52"/>
      <x:c r="E59" s="52"/>
      <x:c r="F59" s="20"/>
      <x:c r="G59" s="20"/>
      <x:c r="H59" s="20"/>
      <x:c r="I59" s="20"/>
      <x:c r="J59" s="20"/>
      <x:c r="K59" s="20"/>
      <x:c r="L59" s="20"/>
      <x:c r="M59" s="52" t="n">
        <x:f>IF(F59="Paga",IF(E59="",D59,E59),0)</x:f>
        <x:v>0</x:v>
      </x:c>
    </x:row>
    <x:row r="60">
      <x:c r="A60" s="50"/>
      <x:c r="B60" s="20"/>
      <x:c r="C60" s="20"/>
      <x:c r="D60" s="52"/>
      <x:c r="E60" s="52"/>
      <x:c r="F60" s="20"/>
      <x:c r="G60" s="20"/>
      <x:c r="H60" s="20"/>
      <x:c r="I60" s="20"/>
      <x:c r="J60" s="20"/>
      <x:c r="K60" s="20"/>
      <x:c r="L60" s="20"/>
      <x:c r="M60" s="52" t="n">
        <x:f>IF(F60="Paga",IF(E60="",D60,E60),0)</x:f>
        <x:v>0</x:v>
      </x:c>
    </x:row>
    <x:row r="61">
      <x:c r="A61" s="50"/>
      <x:c r="B61" s="20"/>
      <x:c r="C61" s="20"/>
      <x:c r="D61" s="52"/>
      <x:c r="E61" s="52"/>
      <x:c r="F61" s="20"/>
      <x:c r="G61" s="20"/>
      <x:c r="H61" s="20"/>
      <x:c r="I61" s="20"/>
      <x:c r="J61" s="20"/>
      <x:c r="K61" s="20"/>
      <x:c r="L61" s="20"/>
      <x:c r="M61" s="52" t="n">
        <x:f>IF(F61="Paga",IF(E61="",D61,E61),0)</x:f>
        <x:v>0</x:v>
      </x:c>
    </x:row>
    <x:row r="62">
      <x:c r="A62" s="50"/>
      <x:c r="B62" s="20"/>
      <x:c r="C62" s="20"/>
      <x:c r="D62" s="52"/>
      <x:c r="E62" s="52"/>
      <x:c r="F62" s="20"/>
      <x:c r="G62" s="20"/>
      <x:c r="H62" s="20"/>
      <x:c r="I62" s="20"/>
      <x:c r="J62" s="20"/>
      <x:c r="K62" s="20"/>
      <x:c r="L62" s="20"/>
      <x:c r="M62" s="52" t="n">
        <x:f>IF(F62="Paga",IF(E62="",D62,E62),0)</x:f>
        <x:v>0</x:v>
      </x:c>
    </x:row>
    <x:row r="63">
      <x:c r="A63" s="50"/>
      <x:c r="B63" s="20"/>
      <x:c r="C63" s="20"/>
      <x:c r="D63" s="52"/>
      <x:c r="E63" s="52"/>
      <x:c r="F63" s="20"/>
      <x:c r="G63" s="20"/>
      <x:c r="H63" s="20"/>
      <x:c r="I63" s="20"/>
      <x:c r="J63" s="20"/>
      <x:c r="K63" s="20"/>
      <x:c r="L63" s="20"/>
      <x:c r="M63" s="52" t="n">
        <x:f>IF(F63="Paga",IF(E63="",D63,E63),0)</x:f>
        <x:v>0</x:v>
      </x:c>
    </x:row>
    <x:row r="64">
      <x:c r="A64" s="50"/>
      <x:c r="B64" s="20"/>
      <x:c r="C64" s="20"/>
      <x:c r="D64" s="52"/>
      <x:c r="E64" s="52"/>
      <x:c r="F64" s="20"/>
      <x:c r="G64" s="20"/>
      <x:c r="H64" s="20"/>
      <x:c r="I64" s="20"/>
      <x:c r="J64" s="20"/>
      <x:c r="K64" s="20"/>
      <x:c r="L64" s="20"/>
      <x:c r="M64" s="52" t="n">
        <x:f>IF(F64="Paga",IF(E64="",D64,E64),0)</x:f>
        <x:v>0</x:v>
      </x:c>
    </x:row>
    <x:row r="65">
      <x:c r="A65" s="50"/>
      <x:c r="B65" s="20"/>
      <x:c r="C65" s="20"/>
      <x:c r="D65" s="52"/>
      <x:c r="E65" s="52"/>
      <x:c r="F65" s="20"/>
      <x:c r="G65" s="20"/>
      <x:c r="H65" s="20"/>
      <x:c r="I65" s="20"/>
      <x:c r="J65" s="20"/>
      <x:c r="K65" s="20"/>
      <x:c r="L65" s="20"/>
      <x:c r="M65" s="52" t="n">
        <x:f>IF(F65="Paga",IF(E65="",D65,E65),0)</x:f>
        <x:v>0</x:v>
      </x:c>
    </x:row>
    <x:row r="66">
      <x:c r="A66" s="50"/>
      <x:c r="B66" s="20"/>
      <x:c r="C66" s="20"/>
      <x:c r="D66" s="52"/>
      <x:c r="E66" s="52"/>
      <x:c r="F66" s="20"/>
      <x:c r="G66" s="20"/>
      <x:c r="H66" s="20"/>
      <x:c r="I66" s="20"/>
      <x:c r="J66" s="20"/>
      <x:c r="K66" s="20"/>
      <x:c r="L66" s="20"/>
      <x:c r="M66" s="52" t="n">
        <x:f>IF(F66="Paga",IF(E66="",D66,E66),0)</x:f>
        <x:v>0</x:v>
      </x:c>
    </x:row>
    <x:row r="67">
      <x:c r="A67" s="50"/>
      <x:c r="B67" s="20"/>
      <x:c r="C67" s="20"/>
      <x:c r="D67" s="52"/>
      <x:c r="E67" s="52"/>
      <x:c r="F67" s="20"/>
      <x:c r="G67" s="20"/>
      <x:c r="H67" s="20"/>
      <x:c r="I67" s="20"/>
      <x:c r="J67" s="20"/>
      <x:c r="K67" s="20"/>
      <x:c r="L67" s="20"/>
      <x:c r="M67" s="52" t="n">
        <x:f>IF(F67="Paga",IF(E67="",D67,E67),0)</x:f>
        <x:v>0</x:v>
      </x:c>
    </x:row>
    <x:row r="68">
      <x:c r="A68" s="50"/>
      <x:c r="B68" s="20"/>
      <x:c r="C68" s="20"/>
      <x:c r="D68" s="52"/>
      <x:c r="E68" s="52"/>
      <x:c r="F68" s="20"/>
      <x:c r="G68" s="20"/>
      <x:c r="H68" s="20"/>
      <x:c r="I68" s="20"/>
      <x:c r="J68" s="20"/>
      <x:c r="K68" s="20"/>
      <x:c r="L68" s="20"/>
      <x:c r="M68" s="52" t="n">
        <x:f>IF(F68="Paga",IF(E68="",D68,E68),0)</x:f>
        <x:v>0</x:v>
      </x:c>
    </x:row>
    <x:row r="69">
      <x:c r="A69" s="50"/>
      <x:c r="B69" s="20"/>
      <x:c r="C69" s="20"/>
      <x:c r="D69" s="52"/>
      <x:c r="E69" s="52"/>
      <x:c r="F69" s="20"/>
      <x:c r="G69" s="20"/>
      <x:c r="H69" s="20"/>
      <x:c r="I69" s="20"/>
      <x:c r="J69" s="20"/>
      <x:c r="K69" s="20"/>
      <x:c r="L69" s="20"/>
      <x:c r="M69" s="52" t="n">
        <x:f>IF(F69="Paga",IF(E69="",D69,E69),0)</x:f>
        <x:v>0</x:v>
      </x:c>
    </x:row>
    <x:row r="70">
      <x:c r="A70" s="50"/>
      <x:c r="B70" s="20"/>
      <x:c r="C70" s="20"/>
      <x:c r="D70" s="52"/>
      <x:c r="E70" s="52"/>
      <x:c r="F70" s="20"/>
      <x:c r="G70" s="20"/>
      <x:c r="H70" s="20"/>
      <x:c r="I70" s="20"/>
      <x:c r="J70" s="20"/>
      <x:c r="K70" s="20"/>
      <x:c r="L70" s="20"/>
      <x:c r="M70" s="52" t="n">
        <x:f>IF(F70="Paga",IF(E70="",D70,E70),0)</x:f>
        <x:v>0</x:v>
      </x:c>
    </x:row>
    <x:row r="71">
      <x:c r="A71" s="50"/>
      <x:c r="B71" s="20"/>
      <x:c r="C71" s="20"/>
      <x:c r="D71" s="52"/>
      <x:c r="E71" s="52"/>
      <x:c r="F71" s="20"/>
      <x:c r="G71" s="20"/>
      <x:c r="H71" s="20"/>
      <x:c r="I71" s="20"/>
      <x:c r="J71" s="20"/>
      <x:c r="K71" s="20"/>
      <x:c r="L71" s="20"/>
      <x:c r="M71" s="52" t="n">
        <x:f>IF(F71="Paga",IF(E71="",D71,E71),0)</x:f>
        <x:v>0</x:v>
      </x:c>
    </x:row>
    <x:row r="72">
      <x:c r="A72" s="50"/>
      <x:c r="B72" s="20"/>
      <x:c r="C72" s="20"/>
      <x:c r="D72" s="52"/>
      <x:c r="E72" s="52"/>
      <x:c r="F72" s="20"/>
      <x:c r="G72" s="20"/>
      <x:c r="H72" s="20"/>
      <x:c r="I72" s="20"/>
      <x:c r="J72" s="20"/>
      <x:c r="K72" s="20"/>
      <x:c r="L72" s="20"/>
      <x:c r="M72" s="52" t="n">
        <x:f>IF(F72="Paga",IF(E72="",D72,E72),0)</x:f>
        <x:v>0</x:v>
      </x:c>
    </x:row>
    <x:row r="73">
      <x:c r="A73" s="50"/>
      <x:c r="B73" s="20"/>
      <x:c r="C73" s="20"/>
      <x:c r="D73" s="52"/>
      <x:c r="E73" s="52"/>
      <x:c r="F73" s="20"/>
      <x:c r="G73" s="20"/>
      <x:c r="H73" s="20"/>
      <x:c r="I73" s="20"/>
      <x:c r="J73" s="20"/>
      <x:c r="K73" s="20"/>
      <x:c r="L73" s="20"/>
      <x:c r="M73" s="52" t="n">
        <x:f>IF(F73="Paga",IF(E73="",D73,E73),0)</x:f>
        <x:v>0</x:v>
      </x:c>
    </x:row>
    <x:row r="74">
      <x:c r="A74" s="50"/>
      <x:c r="B74" s="20"/>
      <x:c r="C74" s="20"/>
      <x:c r="D74" s="52"/>
      <x:c r="E74" s="52"/>
      <x:c r="F74" s="20"/>
      <x:c r="G74" s="20"/>
      <x:c r="H74" s="20"/>
      <x:c r="I74" s="20"/>
      <x:c r="J74" s="20"/>
      <x:c r="K74" s="20"/>
      <x:c r="L74" s="20"/>
      <x:c r="M74" s="52" t="n">
        <x:f>IF(F74="Paga",IF(E74="",D74,E74),0)</x:f>
        <x:v>0</x:v>
      </x:c>
    </x:row>
    <x:row r="75">
      <x:c r="A75" s="50"/>
      <x:c r="B75" s="20"/>
      <x:c r="C75" s="20"/>
      <x:c r="D75" s="52"/>
      <x:c r="E75" s="52"/>
      <x:c r="F75" s="20"/>
      <x:c r="G75" s="20"/>
      <x:c r="H75" s="20"/>
      <x:c r="I75" s="20"/>
      <x:c r="J75" s="20"/>
      <x:c r="K75" s="20"/>
      <x:c r="L75" s="20"/>
      <x:c r="M75" s="52" t="n">
        <x:f>IF(F75="Paga",IF(E75="",D75,E75),0)</x:f>
        <x:v>0</x:v>
      </x:c>
    </x:row>
    <x:row r="76">
      <x:c r="A76" s="50"/>
      <x:c r="B76" s="20"/>
      <x:c r="C76" s="20"/>
      <x:c r="D76" s="52"/>
      <x:c r="E76" s="52"/>
      <x:c r="F76" s="20"/>
      <x:c r="G76" s="20"/>
      <x:c r="H76" s="20"/>
      <x:c r="I76" s="20"/>
      <x:c r="J76" s="20"/>
      <x:c r="K76" s="20"/>
      <x:c r="L76" s="20"/>
      <x:c r="M76" s="52" t="n">
        <x:f>IF(F76="Paga",IF(E76="",D76,E76),0)</x:f>
        <x:v>0</x:v>
      </x:c>
    </x:row>
    <x:row r="77">
      <x:c r="A77" s="50"/>
      <x:c r="B77" s="20"/>
      <x:c r="C77" s="20"/>
      <x:c r="D77" s="52"/>
      <x:c r="E77" s="52"/>
      <x:c r="F77" s="20"/>
      <x:c r="G77" s="20"/>
      <x:c r="H77" s="20"/>
      <x:c r="I77" s="20"/>
      <x:c r="J77" s="20"/>
      <x:c r="K77" s="20"/>
      <x:c r="L77" s="20"/>
      <x:c r="M77" s="52" t="n">
        <x:f>IF(F77="Paga",IF(E77="",D77,E77),0)</x:f>
        <x:v>0</x:v>
      </x:c>
    </x:row>
    <x:row r="78">
      <x:c r="A78" s="50"/>
      <x:c r="B78" s="20"/>
      <x:c r="C78" s="20"/>
      <x:c r="D78" s="52"/>
      <x:c r="E78" s="52"/>
      <x:c r="F78" s="20"/>
      <x:c r="G78" s="20"/>
      <x:c r="H78" s="20"/>
      <x:c r="I78" s="20"/>
      <x:c r="J78" s="20"/>
      <x:c r="K78" s="20"/>
      <x:c r="L78" s="20"/>
      <x:c r="M78" s="52" t="n">
        <x:f>IF(F78="Paga",IF(E78="",D78,E78),0)</x:f>
        <x:v>0</x:v>
      </x:c>
    </x:row>
    <x:row r="79">
      <x:c r="A79" s="50"/>
      <x:c r="B79" s="20"/>
      <x:c r="C79" s="20"/>
      <x:c r="D79" s="52"/>
      <x:c r="E79" s="52"/>
      <x:c r="F79" s="20"/>
      <x:c r="G79" s="20"/>
      <x:c r="H79" s="20"/>
      <x:c r="I79" s="20"/>
      <x:c r="J79" s="20"/>
      <x:c r="K79" s="20"/>
      <x:c r="L79" s="20"/>
      <x:c r="M79" s="52" t="n">
        <x:f>IF(F79="Paga",IF(E79="",D79,E79),0)</x:f>
        <x:v>0</x:v>
      </x:c>
    </x:row>
    <x:row r="80">
      <x:c r="A80" s="50"/>
      <x:c r="B80" s="20"/>
      <x:c r="C80" s="20"/>
      <x:c r="D80" s="52"/>
      <x:c r="E80" s="52"/>
      <x:c r="F80" s="20"/>
      <x:c r="G80" s="20"/>
      <x:c r="H80" s="20"/>
      <x:c r="I80" s="20"/>
      <x:c r="J80" s="20"/>
      <x:c r="K80" s="20"/>
      <x:c r="L80" s="20"/>
      <x:c r="M80" s="52" t="n">
        <x:f>IF(F80="Paga",IF(E80="",D80,E80),0)</x:f>
        <x:v>0</x:v>
      </x:c>
    </x:row>
    <x:row r="81">
      <x:c r="A81" s="50"/>
      <x:c r="B81" s="20"/>
      <x:c r="C81" s="20"/>
      <x:c r="D81" s="52"/>
      <x:c r="E81" s="52"/>
      <x:c r="F81" s="20"/>
      <x:c r="G81" s="20"/>
      <x:c r="H81" s="20"/>
      <x:c r="I81" s="20"/>
      <x:c r="J81" s="20"/>
      <x:c r="K81" s="20"/>
      <x:c r="L81" s="20"/>
      <x:c r="M81" s="52" t="n">
        <x:f>IF(F81="Paga",IF(E81="",D81,E81),0)</x:f>
        <x:v>0</x:v>
      </x:c>
    </x:row>
    <x:row r="82">
      <x:c r="A82" s="50"/>
      <x:c r="B82" s="20"/>
      <x:c r="C82" s="20"/>
      <x:c r="D82" s="52"/>
      <x:c r="E82" s="52"/>
      <x:c r="F82" s="20"/>
      <x:c r="G82" s="20"/>
      <x:c r="H82" s="20"/>
      <x:c r="I82" s="20"/>
      <x:c r="J82" s="20"/>
      <x:c r="K82" s="20"/>
      <x:c r="L82" s="20"/>
      <x:c r="M82" s="52" t="n">
        <x:f>IF(F82="Paga",IF(E82="",D82,E82),0)</x:f>
        <x:v>0</x:v>
      </x:c>
    </x:row>
    <x:row r="83">
      <x:c r="A83" s="50"/>
      <x:c r="B83" s="20"/>
      <x:c r="C83" s="20"/>
      <x:c r="D83" s="52"/>
      <x:c r="E83" s="52"/>
      <x:c r="F83" s="20"/>
      <x:c r="G83" s="20"/>
      <x:c r="H83" s="20"/>
      <x:c r="I83" s="20"/>
      <x:c r="J83" s="20"/>
      <x:c r="K83" s="20"/>
      <x:c r="L83" s="20"/>
      <x:c r="M83" s="52" t="n">
        <x:f>IF(F83="Paga",IF(E83="",D83,E83),0)</x:f>
        <x:v>0</x:v>
      </x:c>
    </x:row>
    <x:row r="84">
      <x:c r="A84" s="50"/>
      <x:c r="B84" s="20"/>
      <x:c r="C84" s="20"/>
      <x:c r="D84" s="52"/>
      <x:c r="E84" s="52"/>
      <x:c r="F84" s="20"/>
      <x:c r="G84" s="20"/>
      <x:c r="H84" s="20"/>
      <x:c r="I84" s="20"/>
      <x:c r="J84" s="20"/>
      <x:c r="K84" s="20"/>
      <x:c r="L84" s="20"/>
      <x:c r="M84" s="52" t="n">
        <x:f>IF(F84="Paga",IF(E84="",D84,E84),0)</x:f>
        <x:v>0</x:v>
      </x:c>
    </x:row>
    <x:row r="85">
      <x:c r="A85" s="50"/>
      <x:c r="B85" s="20"/>
      <x:c r="C85" s="20"/>
      <x:c r="D85" s="52"/>
      <x:c r="E85" s="52"/>
      <x:c r="F85" s="20"/>
      <x:c r="G85" s="20"/>
      <x:c r="H85" s="20"/>
      <x:c r="I85" s="20"/>
      <x:c r="J85" s="20"/>
      <x:c r="K85" s="20"/>
      <x:c r="L85" s="20"/>
      <x:c r="M85" s="52" t="n">
        <x:f>IF(F85="Paga",IF(E85="",D85,E85),0)</x:f>
        <x:v>0</x:v>
      </x:c>
    </x:row>
    <x:row r="86">
      <x:c r="A86" s="50"/>
      <x:c r="B86" s="20"/>
      <x:c r="C86" s="20"/>
      <x:c r="D86" s="52"/>
      <x:c r="E86" s="52"/>
      <x:c r="F86" s="20"/>
      <x:c r="G86" s="20"/>
      <x:c r="H86" s="20"/>
      <x:c r="I86" s="20"/>
      <x:c r="J86" s="20"/>
      <x:c r="K86" s="20"/>
      <x:c r="L86" s="20"/>
      <x:c r="M86" s="52" t="n">
        <x:f>IF(F86="Paga",IF(E86="",D86,E86),0)</x:f>
        <x:v>0</x:v>
      </x:c>
    </x:row>
    <x:row r="87">
      <x:c r="A87" s="50"/>
      <x:c r="B87" s="20"/>
      <x:c r="C87" s="20"/>
      <x:c r="D87" s="52"/>
      <x:c r="E87" s="52"/>
      <x:c r="F87" s="20"/>
      <x:c r="G87" s="20"/>
      <x:c r="H87" s="20"/>
      <x:c r="I87" s="20"/>
      <x:c r="J87" s="20"/>
      <x:c r="K87" s="20"/>
      <x:c r="L87" s="20"/>
      <x:c r="M87" s="52" t="n">
        <x:f>IF(F87="Paga",IF(E87="",D87,E87),0)</x:f>
        <x:v>0</x:v>
      </x:c>
    </x:row>
    <x:row r="88">
      <x:c r="A88" s="50"/>
      <x:c r="B88" s="20"/>
      <x:c r="C88" s="20"/>
      <x:c r="D88" s="52"/>
      <x:c r="E88" s="52"/>
      <x:c r="F88" s="20"/>
      <x:c r="G88" s="20"/>
      <x:c r="H88" s="20"/>
      <x:c r="I88" s="20"/>
      <x:c r="J88" s="20"/>
      <x:c r="K88" s="20"/>
      <x:c r="L88" s="20"/>
      <x:c r="M88" s="52" t="n">
        <x:f>IF(F88="Paga",IF(E88="",D88,E88),0)</x:f>
        <x:v>0</x:v>
      </x:c>
    </x:row>
    <x:row r="89">
      <x:c r="A89" s="50"/>
      <x:c r="B89" s="20"/>
      <x:c r="C89" s="20"/>
      <x:c r="D89" s="52"/>
      <x:c r="E89" s="52"/>
      <x:c r="F89" s="20"/>
      <x:c r="G89" s="20"/>
      <x:c r="H89" s="20"/>
      <x:c r="I89" s="20"/>
      <x:c r="J89" s="20"/>
      <x:c r="K89" s="20"/>
      <x:c r="L89" s="20"/>
      <x:c r="M89" s="52" t="n">
        <x:f>IF(F89="Paga",IF(E89="",D89,E89),0)</x:f>
        <x:v>0</x:v>
      </x:c>
    </x:row>
    <x:row r="90">
      <x:c r="A90" s="50"/>
      <x:c r="B90" s="20"/>
      <x:c r="C90" s="20"/>
      <x:c r="D90" s="52"/>
      <x:c r="E90" s="52"/>
      <x:c r="F90" s="20"/>
      <x:c r="G90" s="20"/>
      <x:c r="H90" s="20"/>
      <x:c r="I90" s="20"/>
      <x:c r="J90" s="20"/>
      <x:c r="K90" s="20"/>
      <x:c r="L90" s="20"/>
      <x:c r="M90" s="52" t="n">
        <x:f>IF(F90="Paga",IF(E90="",D90,E90),0)</x:f>
        <x:v>0</x:v>
      </x:c>
    </x:row>
    <x:row r="91">
      <x:c r="A91" s="50"/>
      <x:c r="B91" s="20"/>
      <x:c r="C91" s="20"/>
      <x:c r="D91" s="52"/>
      <x:c r="E91" s="52"/>
      <x:c r="F91" s="20"/>
      <x:c r="G91" s="20"/>
      <x:c r="H91" s="20"/>
      <x:c r="I91" s="20"/>
      <x:c r="J91" s="20"/>
      <x:c r="K91" s="20"/>
      <x:c r="L91" s="20"/>
      <x:c r="M91" s="52" t="n">
        <x:f>IF(F91="Paga",IF(E91="",D91,E91),0)</x:f>
        <x:v>0</x:v>
      </x:c>
    </x:row>
    <x:row r="92">
      <x:c r="A92" s="50"/>
      <x:c r="B92" s="20"/>
      <x:c r="C92" s="20"/>
      <x:c r="D92" s="52"/>
      <x:c r="E92" s="52"/>
      <x:c r="F92" s="20"/>
      <x:c r="G92" s="20"/>
      <x:c r="H92" s="20"/>
      <x:c r="I92" s="20"/>
      <x:c r="J92" s="20"/>
      <x:c r="K92" s="20"/>
      <x:c r="L92" s="20"/>
      <x:c r="M92" s="52" t="n">
        <x:f>IF(F92="Paga",IF(E92="",D92,E92),0)</x:f>
        <x:v>0</x:v>
      </x:c>
    </x:row>
    <x:row r="93">
      <x:c r="A93" s="50"/>
      <x:c r="B93" s="20"/>
      <x:c r="C93" s="20"/>
      <x:c r="D93" s="52"/>
      <x:c r="E93" s="52"/>
      <x:c r="F93" s="20"/>
      <x:c r="G93" s="20"/>
      <x:c r="H93" s="20"/>
      <x:c r="I93" s="20"/>
      <x:c r="J93" s="20"/>
      <x:c r="K93" s="20"/>
      <x:c r="L93" s="20"/>
      <x:c r="M93" s="52" t="n">
        <x:f>IF(F93="Paga",IF(E93="",D93,E93),0)</x:f>
        <x:v>0</x:v>
      </x:c>
    </x:row>
    <x:row r="94">
      <x:c r="A94" s="50"/>
      <x:c r="B94" s="20"/>
      <x:c r="C94" s="20"/>
      <x:c r="D94" s="52"/>
      <x:c r="E94" s="52"/>
      <x:c r="F94" s="20"/>
      <x:c r="G94" s="20"/>
      <x:c r="H94" s="20"/>
      <x:c r="I94" s="20"/>
      <x:c r="J94" s="20"/>
      <x:c r="K94" s="20"/>
      <x:c r="L94" s="20"/>
      <x:c r="M94" s="52" t="n">
        <x:f>IF(F94="Paga",IF(E94="",D94,E94),0)</x:f>
        <x:v>0</x:v>
      </x:c>
    </x:row>
    <x:row r="95">
      <x:c r="A95" s="50"/>
      <x:c r="B95" s="20"/>
      <x:c r="C95" s="20"/>
      <x:c r="D95" s="52"/>
      <x:c r="E95" s="52"/>
      <x:c r="F95" s="20"/>
      <x:c r="G95" s="20"/>
      <x:c r="H95" s="20"/>
      <x:c r="I95" s="20"/>
      <x:c r="J95" s="20"/>
      <x:c r="K95" s="20"/>
      <x:c r="L95" s="20"/>
      <x:c r="M95" s="52" t="n">
        <x:f>IF(F95="Paga",IF(E95="",D95,E95),0)</x:f>
        <x:v>0</x:v>
      </x:c>
    </x:row>
    <x:row r="96">
      <x:c r="A96" s="50"/>
      <x:c r="B96" s="20"/>
      <x:c r="C96" s="20"/>
      <x:c r="D96" s="52"/>
      <x:c r="E96" s="52"/>
      <x:c r="F96" s="20"/>
      <x:c r="G96" s="20"/>
      <x:c r="H96" s="20"/>
      <x:c r="I96" s="20"/>
      <x:c r="J96" s="20"/>
      <x:c r="K96" s="20"/>
      <x:c r="L96" s="20"/>
      <x:c r="M96" s="52" t="n">
        <x:f>IF(F96="Paga",IF(E96="",D96,E96),0)</x:f>
        <x:v>0</x:v>
      </x:c>
    </x:row>
    <x:row r="97">
      <x:c r="A97" s="50"/>
      <x:c r="B97" s="20"/>
      <x:c r="C97" s="20"/>
      <x:c r="D97" s="52"/>
      <x:c r="E97" s="52"/>
      <x:c r="F97" s="20"/>
      <x:c r="G97" s="20"/>
      <x:c r="H97" s="20"/>
      <x:c r="I97" s="20"/>
      <x:c r="J97" s="20"/>
      <x:c r="K97" s="20"/>
      <x:c r="L97" s="20"/>
      <x:c r="M97" s="52" t="n">
        <x:f>IF(F97="Paga",IF(E97="",D97,E97),0)</x:f>
        <x:v>0</x:v>
      </x:c>
    </x:row>
    <x:row r="98">
      <x:c r="A98" s="50"/>
      <x:c r="B98" s="20"/>
      <x:c r="C98" s="20"/>
      <x:c r="D98" s="52"/>
      <x:c r="E98" s="52"/>
      <x:c r="F98" s="20"/>
      <x:c r="G98" s="20"/>
      <x:c r="H98" s="20"/>
      <x:c r="I98" s="20"/>
      <x:c r="J98" s="20"/>
      <x:c r="K98" s="20"/>
      <x:c r="L98" s="20"/>
      <x:c r="M98" s="52" t="n">
        <x:f>IF(F98="Paga",IF(E98="",D98,E98),0)</x:f>
        <x:v>0</x:v>
      </x:c>
    </x:row>
    <x:row r="99">
      <x:c r="A99" s="50"/>
      <x:c r="B99" s="20"/>
      <x:c r="C99" s="20"/>
      <x:c r="D99" s="52"/>
      <x:c r="E99" s="52"/>
      <x:c r="F99" s="20"/>
      <x:c r="G99" s="20"/>
      <x:c r="H99" s="20"/>
      <x:c r="I99" s="20"/>
      <x:c r="J99" s="20"/>
      <x:c r="K99" s="20"/>
      <x:c r="L99" s="20"/>
      <x:c r="M99" s="52" t="n">
        <x:f>IF(F99="Paga",IF(E99="",D99,E99),0)</x:f>
        <x:v>0</x:v>
      </x:c>
    </x:row>
    <x:row r="100">
      <x:c r="A100" s="50"/>
      <x:c r="B100" s="20"/>
      <x:c r="C100" s="20"/>
      <x:c r="D100" s="52"/>
      <x:c r="E100" s="52"/>
      <x:c r="F100" s="20"/>
      <x:c r="G100" s="20"/>
      <x:c r="H100" s="20"/>
      <x:c r="I100" s="20"/>
      <x:c r="J100" s="20"/>
      <x:c r="K100" s="20"/>
      <x:c r="L100" s="20"/>
      <x:c r="M100" s="52" t="n">
        <x:f>IF(F100="Paga",IF(E100="",D100,E100),0)</x:f>
        <x:v>0</x:v>
      </x:c>
    </x:row>
    <x:row r="101">
      <x:c r="A101" s="50"/>
      <x:c r="B101" s="20"/>
      <x:c r="C101" s="20"/>
      <x:c r="D101" s="52"/>
      <x:c r="E101" s="52"/>
      <x:c r="F101" s="20"/>
      <x:c r="G101" s="20"/>
      <x:c r="H101" s="20"/>
      <x:c r="I101" s="20"/>
      <x:c r="J101" s="20"/>
      <x:c r="K101" s="20"/>
      <x:c r="L101" s="20"/>
      <x:c r="M101" s="52" t="n">
        <x:f>IF(F101="Paga",IF(E101="",D101,E101),0)</x:f>
        <x:v>0</x:v>
      </x:c>
    </x:row>
    <x:row r="102">
      <x:c r="A102" s="50"/>
      <x:c r="B102" s="20"/>
      <x:c r="C102" s="20"/>
      <x:c r="D102" s="52"/>
      <x:c r="E102" s="52"/>
      <x:c r="F102" s="20"/>
      <x:c r="G102" s="20"/>
      <x:c r="H102" s="20"/>
      <x:c r="I102" s="20"/>
      <x:c r="J102" s="20"/>
      <x:c r="K102" s="20"/>
      <x:c r="L102" s="20"/>
      <x:c r="M102" s="52" t="n">
        <x:f>IF(F102="Paga",IF(E102="",D102,E102),0)</x:f>
        <x:v>0</x:v>
      </x:c>
    </x:row>
    <x:row r="103">
      <x:c r="A103" s="50"/>
      <x:c r="B103" s="20"/>
      <x:c r="C103" s="20"/>
      <x:c r="D103" s="52"/>
      <x:c r="E103" s="52"/>
      <x:c r="F103" s="20"/>
      <x:c r="G103" s="20"/>
      <x:c r="H103" s="20"/>
      <x:c r="I103" s="20"/>
      <x:c r="J103" s="20"/>
      <x:c r="K103" s="20"/>
      <x:c r="L103" s="20"/>
      <x:c r="M103" s="52" t="n">
        <x:f>IF(F103="Paga",IF(E103="",D103,E103),0)</x:f>
        <x:v>0</x:v>
      </x:c>
    </x:row>
    <x:row r="104">
      <x:c r="A104" s="50"/>
      <x:c r="B104" s="20"/>
      <x:c r="C104" s="20"/>
      <x:c r="D104" s="52"/>
      <x:c r="E104" s="52"/>
      <x:c r="F104" s="20"/>
      <x:c r="G104" s="20"/>
      <x:c r="H104" s="20"/>
      <x:c r="I104" s="20"/>
      <x:c r="J104" s="20"/>
      <x:c r="K104" s="20"/>
      <x:c r="L104" s="20"/>
      <x:c r="M104" s="52" t="n">
        <x:f>IF(F104="Paga",IF(E104="",D104,E104),0)</x:f>
        <x:v>0</x:v>
      </x:c>
    </x:row>
    <x:row r="105">
      <x:c r="A105" s="50"/>
      <x:c r="B105" s="20"/>
      <x:c r="C105" s="20"/>
      <x:c r="D105" s="52"/>
      <x:c r="E105" s="52"/>
      <x:c r="F105" s="20"/>
      <x:c r="G105" s="20"/>
      <x:c r="H105" s="20"/>
      <x:c r="I105" s="20"/>
      <x:c r="J105" s="20"/>
      <x:c r="K105" s="20"/>
      <x:c r="L105" s="20"/>
      <x:c r="M105" s="52" t="n">
        <x:f>IF(F105="Paga",IF(E105="",D105,E105),0)</x:f>
        <x:v>0</x:v>
      </x:c>
    </x:row>
    <x:row r="106">
      <x:c r="A106" s="50"/>
      <x:c r="B106" s="20"/>
      <x:c r="C106" s="20"/>
      <x:c r="D106" s="52"/>
      <x:c r="E106" s="52"/>
      <x:c r="F106" s="20"/>
      <x:c r="G106" s="20"/>
      <x:c r="H106" s="20"/>
      <x:c r="I106" s="20"/>
      <x:c r="J106" s="20"/>
      <x:c r="K106" s="20"/>
      <x:c r="L106" s="20"/>
      <x:c r="M106" s="52" t="n">
        <x:f>IF(F106="Paga",IF(E106="",D106,E106),0)</x:f>
        <x:v>0</x:v>
      </x:c>
    </x:row>
    <x:row r="107">
      <x:c r="A107" s="50"/>
      <x:c r="B107" s="20"/>
      <x:c r="C107" s="20"/>
      <x:c r="D107" s="52"/>
      <x:c r="E107" s="52"/>
      <x:c r="F107" s="20"/>
      <x:c r="G107" s="20"/>
      <x:c r="H107" s="20"/>
      <x:c r="I107" s="20"/>
      <x:c r="J107" s="20"/>
      <x:c r="K107" s="20"/>
      <x:c r="L107" s="20"/>
      <x:c r="M107" s="52" t="n">
        <x:f>IF(F107="Paga",IF(E107="",D107,E107),0)</x:f>
        <x:v>0</x:v>
      </x:c>
    </x:row>
    <x:row r="108">
      <x:c r="A108" s="50"/>
      <x:c r="B108" s="20"/>
      <x:c r="C108" s="20"/>
      <x:c r="D108" s="52"/>
      <x:c r="E108" s="52"/>
      <x:c r="F108" s="20"/>
      <x:c r="G108" s="20"/>
      <x:c r="H108" s="20"/>
      <x:c r="I108" s="20"/>
      <x:c r="J108" s="20"/>
      <x:c r="K108" s="20"/>
      <x:c r="L108" s="20"/>
      <x:c r="M108" s="52" t="n">
        <x:f>IF(F108="Paga",IF(E108="",D108,E108),0)</x:f>
        <x:v>0</x:v>
      </x:c>
    </x:row>
    <x:row r="109">
      <x:c r="A109" s="50"/>
      <x:c r="B109" s="20"/>
      <x:c r="C109" s="20"/>
      <x:c r="D109" s="52"/>
      <x:c r="E109" s="52"/>
      <x:c r="F109" s="20"/>
      <x:c r="G109" s="20"/>
      <x:c r="H109" s="20"/>
      <x:c r="I109" s="20"/>
      <x:c r="J109" s="20"/>
      <x:c r="K109" s="20"/>
      <x:c r="L109" s="20"/>
      <x:c r="M109" s="52" t="n">
        <x:f>IF(F109="Paga",IF(E109="",D109,E109),0)</x:f>
        <x:v>0</x:v>
      </x:c>
    </x:row>
    <x:row r="110">
      <x:c r="A110" s="50"/>
      <x:c r="B110" s="20"/>
      <x:c r="C110" s="20"/>
      <x:c r="D110" s="52"/>
      <x:c r="E110" s="52"/>
      <x:c r="F110" s="20"/>
      <x:c r="G110" s="20"/>
      <x:c r="H110" s="20"/>
      <x:c r="I110" s="20"/>
      <x:c r="J110" s="20"/>
      <x:c r="K110" s="20"/>
      <x:c r="L110" s="20"/>
      <x:c r="M110" s="52" t="n">
        <x:f>IF(F110="Paga",IF(E110="",D110,E110),0)</x:f>
        <x:v>0</x:v>
      </x:c>
    </x:row>
    <x:row r="111">
      <x:c r="A111" s="50"/>
      <x:c r="B111" s="20"/>
      <x:c r="C111" s="20"/>
      <x:c r="D111" s="52"/>
      <x:c r="E111" s="52"/>
      <x:c r="F111" s="20"/>
      <x:c r="G111" s="20"/>
      <x:c r="H111" s="20"/>
      <x:c r="I111" s="20"/>
      <x:c r="J111" s="20"/>
      <x:c r="K111" s="20"/>
      <x:c r="L111" s="20"/>
      <x:c r="M111" s="52" t="n">
        <x:f>IF(F111="Paga",IF(E111="",D111,E111),0)</x:f>
        <x:v>0</x:v>
      </x:c>
    </x:row>
    <x:row r="112">
      <x:c r="A112" s="50"/>
      <x:c r="B112" s="20"/>
      <x:c r="C112" s="20"/>
      <x:c r="D112" s="52"/>
      <x:c r="E112" s="52"/>
      <x:c r="F112" s="20"/>
      <x:c r="G112" s="20"/>
      <x:c r="H112" s="20"/>
      <x:c r="I112" s="20"/>
      <x:c r="J112" s="20"/>
      <x:c r="K112" s="20"/>
      <x:c r="L112" s="20"/>
      <x:c r="M112" s="52" t="n">
        <x:f>IF(F112="Paga",IF(E112="",D112,E112),0)</x:f>
        <x:v>0</x:v>
      </x:c>
    </x:row>
    <x:row r="113">
      <x:c r="A113" s="50"/>
      <x:c r="B113" s="20"/>
      <x:c r="C113" s="20"/>
      <x:c r="D113" s="52"/>
      <x:c r="E113" s="52"/>
      <x:c r="F113" s="20"/>
      <x:c r="G113" s="20"/>
      <x:c r="H113" s="20"/>
      <x:c r="I113" s="20"/>
      <x:c r="J113" s="20"/>
      <x:c r="K113" s="20"/>
      <x:c r="L113" s="20"/>
      <x:c r="M113" s="52" t="n">
        <x:f>IF(F113="Paga",IF(E113="",D113,E113),0)</x:f>
        <x:v>0</x:v>
      </x:c>
    </x:row>
    <x:row r="114">
      <x:c r="A114" s="50"/>
      <x:c r="B114" s="20"/>
      <x:c r="C114" s="20"/>
      <x:c r="D114" s="52"/>
      <x:c r="E114" s="52"/>
      <x:c r="F114" s="20"/>
      <x:c r="G114" s="20"/>
      <x:c r="H114" s="20"/>
      <x:c r="I114" s="20"/>
      <x:c r="J114" s="20"/>
      <x:c r="K114" s="20"/>
      <x:c r="L114" s="20"/>
      <x:c r="M114" s="52" t="n">
        <x:f>IF(F114="Paga",IF(E114="",D114,E114),0)</x:f>
        <x:v>0</x:v>
      </x:c>
    </x:row>
    <x:row r="115">
      <x:c r="A115" s="50"/>
      <x:c r="B115" s="20"/>
      <x:c r="C115" s="20"/>
      <x:c r="D115" s="52"/>
      <x:c r="E115" s="52"/>
      <x:c r="F115" s="20"/>
      <x:c r="G115" s="20"/>
      <x:c r="H115" s="20"/>
      <x:c r="I115" s="20"/>
      <x:c r="J115" s="20"/>
      <x:c r="K115" s="20"/>
      <x:c r="L115" s="20"/>
      <x:c r="M115" s="52" t="n">
        <x:f>IF(F115="Paga",IF(E115="",D115,E115),0)</x:f>
        <x:v>0</x:v>
      </x:c>
    </x:row>
    <x:row r="116">
      <x:c r="A116" s="50"/>
      <x:c r="B116" s="20"/>
      <x:c r="C116" s="20"/>
      <x:c r="D116" s="52"/>
      <x:c r="E116" s="52"/>
      <x:c r="F116" s="20"/>
      <x:c r="G116" s="20"/>
      <x:c r="H116" s="20"/>
      <x:c r="I116" s="20"/>
      <x:c r="J116" s="20"/>
      <x:c r="K116" s="20"/>
      <x:c r="L116" s="20"/>
      <x:c r="M116" s="52" t="n">
        <x:f>IF(F116="Paga",IF(E116="",D116,E116),0)</x:f>
        <x:v>0</x:v>
      </x:c>
    </x:row>
    <x:row r="117">
      <x:c r="A117" s="50"/>
      <x:c r="B117" s="20"/>
      <x:c r="C117" s="20"/>
      <x:c r="D117" s="52"/>
      <x:c r="E117" s="52"/>
      <x:c r="F117" s="20"/>
      <x:c r="G117" s="20"/>
      <x:c r="H117" s="20"/>
      <x:c r="I117" s="20"/>
      <x:c r="J117" s="20"/>
      <x:c r="K117" s="20"/>
      <x:c r="L117" s="20"/>
      <x:c r="M117" s="52" t="n">
        <x:f>IF(F117="Paga",IF(E117="",D117,E117),0)</x:f>
        <x:v>0</x:v>
      </x:c>
    </x:row>
    <x:row r="118">
      <x:c r="A118" s="50"/>
      <x:c r="B118" s="20"/>
      <x:c r="C118" s="20"/>
      <x:c r="D118" s="52"/>
      <x:c r="E118" s="52"/>
      <x:c r="F118" s="20"/>
      <x:c r="G118" s="20"/>
      <x:c r="H118" s="20"/>
      <x:c r="I118" s="20"/>
      <x:c r="J118" s="20"/>
      <x:c r="K118" s="20"/>
      <x:c r="L118" s="20"/>
      <x:c r="M118" s="52" t="n">
        <x:f>IF(F118="Paga",IF(E118="",D118,E118),0)</x:f>
        <x:v>0</x:v>
      </x:c>
    </x:row>
    <x:row r="119">
      <x:c r="A119" s="50"/>
      <x:c r="B119" s="20"/>
      <x:c r="C119" s="20"/>
      <x:c r="D119" s="52"/>
      <x:c r="E119" s="52"/>
      <x:c r="F119" s="20"/>
      <x:c r="G119" s="20"/>
      <x:c r="H119" s="20"/>
      <x:c r="I119" s="20"/>
      <x:c r="J119" s="20"/>
      <x:c r="K119" s="20"/>
      <x:c r="L119" s="20"/>
      <x:c r="M119" s="52" t="n">
        <x:f>IF(F119="Paga",IF(E119="",D119,E119),0)</x:f>
        <x:v>0</x:v>
      </x:c>
    </x:row>
    <x:row r="120">
      <x:c r="A120" s="50"/>
      <x:c r="B120" s="20"/>
      <x:c r="C120" s="20"/>
      <x:c r="D120" s="52"/>
      <x:c r="E120" s="52"/>
      <x:c r="F120" s="20"/>
      <x:c r="G120" s="20"/>
      <x:c r="H120" s="20"/>
      <x:c r="I120" s="20"/>
      <x:c r="J120" s="20"/>
      <x:c r="K120" s="20"/>
      <x:c r="L120" s="20"/>
      <x:c r="M120" s="52" t="n">
        <x:f>IF(F120="Paga",IF(E120="",D120,E120),0)</x:f>
        <x:v>0</x:v>
      </x:c>
    </x:row>
    <x:row r="121">
      <x:c r="A121" s="50"/>
      <x:c r="B121" s="20"/>
      <x:c r="C121" s="20"/>
      <x:c r="D121" s="52"/>
      <x:c r="E121" s="52"/>
      <x:c r="F121" s="20"/>
      <x:c r="G121" s="20"/>
      <x:c r="H121" s="20"/>
      <x:c r="I121" s="20"/>
      <x:c r="J121" s="20"/>
      <x:c r="K121" s="20"/>
      <x:c r="L121" s="20"/>
      <x:c r="M121" s="52" t="n">
        <x:f>IF(F121="Paga",IF(E121="",D121,E121),0)</x:f>
        <x:v>0</x:v>
      </x:c>
    </x:row>
    <x:row r="122">
      <x:c r="A122" s="50"/>
      <x:c r="B122" s="20"/>
      <x:c r="C122" s="20"/>
      <x:c r="D122" s="52"/>
      <x:c r="E122" s="52"/>
      <x:c r="F122" s="20"/>
      <x:c r="G122" s="20"/>
      <x:c r="H122" s="20"/>
      <x:c r="I122" s="20"/>
      <x:c r="J122" s="20"/>
      <x:c r="K122" s="20"/>
      <x:c r="L122" s="20"/>
      <x:c r="M122" s="52" t="n">
        <x:f>IF(F122="Paga",IF(E122="",D122,E122),0)</x:f>
        <x:v>0</x:v>
      </x:c>
    </x:row>
    <x:row r="123">
      <x:c r="A123" s="50"/>
      <x:c r="B123" s="20"/>
      <x:c r="C123" s="20"/>
      <x:c r="D123" s="52"/>
      <x:c r="E123" s="52"/>
      <x:c r="F123" s="20"/>
      <x:c r="G123" s="20"/>
      <x:c r="H123" s="20"/>
      <x:c r="I123" s="20"/>
      <x:c r="J123" s="20"/>
      <x:c r="K123" s="20"/>
      <x:c r="L123" s="20"/>
      <x:c r="M123" s="52" t="n">
        <x:f>IF(F123="Paga",IF(E123="",D123,E123),0)</x:f>
        <x:v>0</x:v>
      </x:c>
    </x:row>
    <x:row r="124">
      <x:c r="A124" s="50"/>
      <x:c r="B124" s="20"/>
      <x:c r="C124" s="20"/>
      <x:c r="D124" s="52"/>
      <x:c r="E124" s="52"/>
      <x:c r="F124" s="20"/>
      <x:c r="G124" s="20"/>
      <x:c r="H124" s="20"/>
      <x:c r="I124" s="20"/>
      <x:c r="J124" s="20"/>
      <x:c r="K124" s="20"/>
      <x:c r="L124" s="20"/>
      <x:c r="M124" s="52" t="n">
        <x:f>IF(F124="Paga",IF(E124="",D124,E124),0)</x:f>
        <x:v>0</x:v>
      </x:c>
    </x:row>
    <x:row r="125">
      <x:c r="A125" s="50"/>
      <x:c r="B125" s="20"/>
      <x:c r="C125" s="20"/>
      <x:c r="D125" s="52"/>
      <x:c r="E125" s="52"/>
      <x:c r="F125" s="20"/>
      <x:c r="G125" s="20"/>
      <x:c r="H125" s="20"/>
      <x:c r="I125" s="20"/>
      <x:c r="J125" s="20"/>
      <x:c r="K125" s="20"/>
      <x:c r="L125" s="20"/>
      <x:c r="M125" s="52" t="n">
        <x:f>IF(F125="Paga",IF(E125="",D125,E125),0)</x:f>
        <x:v>0</x:v>
      </x:c>
    </x:row>
    <x:row r="126">
      <x:c r="A126" s="50"/>
      <x:c r="B126" s="20"/>
      <x:c r="C126" s="20"/>
      <x:c r="D126" s="52"/>
      <x:c r="E126" s="52"/>
      <x:c r="F126" s="20"/>
      <x:c r="G126" s="20"/>
      <x:c r="H126" s="20"/>
      <x:c r="I126" s="20"/>
      <x:c r="J126" s="20"/>
      <x:c r="K126" s="20"/>
      <x:c r="L126" s="20"/>
      <x:c r="M126" s="52" t="n">
        <x:f>IF(F126="Paga",IF(E126="",D126,E126),0)</x:f>
        <x:v>0</x:v>
      </x:c>
    </x:row>
    <x:row r="127">
      <x:c r="A127" s="50"/>
      <x:c r="B127" s="20"/>
      <x:c r="C127" s="20"/>
      <x:c r="D127" s="52"/>
      <x:c r="E127" s="52"/>
      <x:c r="F127" s="20"/>
      <x:c r="G127" s="20"/>
      <x:c r="H127" s="20"/>
      <x:c r="I127" s="20"/>
      <x:c r="J127" s="20"/>
      <x:c r="K127" s="20"/>
      <x:c r="L127" s="20"/>
      <x:c r="M127" s="52" t="n">
        <x:f>IF(F127="Paga",IF(E127="",D127,E127),0)</x:f>
        <x:v>0</x:v>
      </x:c>
    </x:row>
    <x:row r="128">
      <x:c r="A128" s="50"/>
      <x:c r="B128" s="20"/>
      <x:c r="C128" s="20"/>
      <x:c r="D128" s="52"/>
      <x:c r="E128" s="52"/>
      <x:c r="F128" s="20"/>
      <x:c r="G128" s="20"/>
      <x:c r="H128" s="20"/>
      <x:c r="I128" s="20"/>
      <x:c r="J128" s="20"/>
      <x:c r="K128" s="20"/>
      <x:c r="L128" s="20"/>
      <x:c r="M128" s="52" t="n">
        <x:f>IF(F128="Paga",IF(E128="",D128,E128),0)</x:f>
        <x:v>0</x:v>
      </x:c>
    </x:row>
    <x:row r="129">
      <x:c r="A129" s="50"/>
      <x:c r="B129" s="20"/>
      <x:c r="C129" s="20"/>
      <x:c r="D129" s="52"/>
      <x:c r="E129" s="52"/>
      <x:c r="F129" s="20"/>
      <x:c r="G129" s="20"/>
      <x:c r="H129" s="20"/>
      <x:c r="I129" s="20"/>
      <x:c r="J129" s="20"/>
      <x:c r="K129" s="20"/>
      <x:c r="L129" s="20"/>
      <x:c r="M129" s="52" t="n">
        <x:f>IF(F129="Paga",IF(E129="",D129,E129),0)</x:f>
        <x:v>0</x:v>
      </x:c>
    </x:row>
    <x:row r="130">
      <x:c r="A130" s="50"/>
      <x:c r="B130" s="20"/>
      <x:c r="C130" s="20"/>
      <x:c r="D130" s="52"/>
      <x:c r="E130" s="52"/>
      <x:c r="F130" s="20"/>
      <x:c r="G130" s="20"/>
      <x:c r="H130" s="20"/>
      <x:c r="I130" s="20"/>
      <x:c r="J130" s="20"/>
      <x:c r="K130" s="20"/>
      <x:c r="L130" s="20"/>
      <x:c r="M130" s="52" t="n">
        <x:f>IF(F130="Paga",IF(E130="",D130,E130),0)</x:f>
        <x:v>0</x:v>
      </x:c>
    </x:row>
    <x:row r="131">
      <x:c r="A131" s="50"/>
      <x:c r="B131" s="20"/>
      <x:c r="C131" s="20"/>
      <x:c r="D131" s="52"/>
      <x:c r="E131" s="52"/>
      <x:c r="F131" s="20"/>
      <x:c r="G131" s="20"/>
      <x:c r="H131" s="20"/>
      <x:c r="I131" s="20"/>
      <x:c r="J131" s="20"/>
      <x:c r="K131" s="20"/>
      <x:c r="L131" s="20"/>
      <x:c r="M131" s="52" t="n">
        <x:f>IF(F131="Paga",IF(E131="",D131,E131),0)</x:f>
        <x:v>0</x:v>
      </x:c>
    </x:row>
    <x:row r="132">
      <x:c r="A132" s="50"/>
      <x:c r="B132" s="20"/>
      <x:c r="C132" s="20"/>
      <x:c r="D132" s="52"/>
      <x:c r="E132" s="52"/>
      <x:c r="F132" s="20"/>
      <x:c r="G132" s="20"/>
      <x:c r="H132" s="20"/>
      <x:c r="I132" s="20"/>
      <x:c r="J132" s="20"/>
      <x:c r="K132" s="20"/>
      <x:c r="L132" s="20"/>
      <x:c r="M132" s="52" t="n">
        <x:f>IF(F132="Paga",IF(E132="",D132,E132),0)</x:f>
        <x:v>0</x:v>
      </x:c>
    </x:row>
    <x:row r="133">
      <x:c r="A133" s="50"/>
      <x:c r="B133" s="20"/>
      <x:c r="C133" s="20"/>
      <x:c r="D133" s="52"/>
      <x:c r="E133" s="52"/>
      <x:c r="F133" s="20"/>
      <x:c r="G133" s="20"/>
      <x:c r="H133" s="20"/>
      <x:c r="I133" s="20"/>
      <x:c r="J133" s="20"/>
      <x:c r="K133" s="20"/>
      <x:c r="L133" s="20"/>
      <x:c r="M133" s="52" t="n">
        <x:f>IF(F133="Paga",IF(E133="",D133,E133),0)</x:f>
        <x:v>0</x:v>
      </x:c>
    </x:row>
    <x:row r="134">
      <x:c r="A134" s="50"/>
      <x:c r="B134" s="20"/>
      <x:c r="C134" s="20"/>
      <x:c r="D134" s="52"/>
      <x:c r="E134" s="52"/>
      <x:c r="F134" s="20"/>
      <x:c r="G134" s="20"/>
      <x:c r="H134" s="20"/>
      <x:c r="I134" s="20"/>
      <x:c r="J134" s="20"/>
      <x:c r="K134" s="20"/>
      <x:c r="L134" s="20"/>
      <x:c r="M134" s="52" t="n">
        <x:f>IF(F134="Paga",IF(E134="",D134,E134),0)</x:f>
        <x:v>0</x:v>
      </x:c>
    </x:row>
    <x:row r="135">
      <x:c r="A135" s="50"/>
      <x:c r="B135" s="20"/>
      <x:c r="C135" s="20"/>
      <x:c r="D135" s="52"/>
      <x:c r="E135" s="52"/>
      <x:c r="F135" s="20"/>
      <x:c r="G135" s="20"/>
      <x:c r="H135" s="20"/>
      <x:c r="I135" s="20"/>
      <x:c r="J135" s="20"/>
      <x:c r="K135" s="20"/>
      <x:c r="L135" s="20"/>
      <x:c r="M135" s="52" t="n">
        <x:f>IF(F135="Paga",IF(E135="",D135,E135),0)</x:f>
        <x:v>0</x:v>
      </x:c>
    </x:row>
    <x:row r="136">
      <x:c r="A136" s="50"/>
      <x:c r="B136" s="20"/>
      <x:c r="C136" s="20"/>
      <x:c r="D136" s="52"/>
      <x:c r="E136" s="52"/>
      <x:c r="F136" s="20"/>
      <x:c r="G136" s="20"/>
      <x:c r="H136" s="20"/>
      <x:c r="I136" s="20"/>
      <x:c r="J136" s="20"/>
      <x:c r="K136" s="20"/>
      <x:c r="L136" s="20"/>
      <x:c r="M136" s="52" t="n">
        <x:f>IF(F136="Paga",IF(E136="",D136,E136),0)</x:f>
        <x:v>0</x:v>
      </x:c>
    </x:row>
    <x:row r="137">
      <x:c r="A137" s="50"/>
      <x:c r="B137" s="20"/>
      <x:c r="C137" s="20"/>
      <x:c r="D137" s="52"/>
      <x:c r="E137" s="52"/>
      <x:c r="F137" s="20"/>
      <x:c r="G137" s="20"/>
      <x:c r="H137" s="20"/>
      <x:c r="I137" s="20"/>
      <x:c r="J137" s="20"/>
      <x:c r="K137" s="20"/>
      <x:c r="L137" s="20"/>
      <x:c r="M137" s="52" t="n">
        <x:f>IF(F137="Paga",IF(E137="",D137,E137),0)</x:f>
        <x:v>0</x:v>
      </x:c>
    </x:row>
    <x:row r="138">
      <x:c r="A138" s="50"/>
      <x:c r="B138" s="20"/>
      <x:c r="C138" s="20"/>
      <x:c r="D138" s="52"/>
      <x:c r="E138" s="52"/>
      <x:c r="F138" s="20"/>
      <x:c r="G138" s="20"/>
      <x:c r="H138" s="20"/>
      <x:c r="I138" s="20"/>
      <x:c r="J138" s="20"/>
      <x:c r="K138" s="20"/>
      <x:c r="L138" s="20"/>
      <x:c r="M138" s="52" t="n">
        <x:f>IF(F138="Paga",IF(E138="",D138,E138),0)</x:f>
        <x:v>0</x:v>
      </x:c>
    </x:row>
    <x:row r="139">
      <x:c r="A139" s="50"/>
      <x:c r="B139" s="20"/>
      <x:c r="C139" s="20"/>
      <x:c r="D139" s="52"/>
      <x:c r="E139" s="52"/>
      <x:c r="F139" s="20"/>
      <x:c r="G139" s="20"/>
      <x:c r="H139" s="20"/>
      <x:c r="I139" s="20"/>
      <x:c r="J139" s="20"/>
      <x:c r="K139" s="20"/>
      <x:c r="L139" s="20"/>
      <x:c r="M139" s="52" t="n">
        <x:f>IF(F139="Paga",IF(E139="",D139,E139),0)</x:f>
        <x:v>0</x:v>
      </x:c>
    </x:row>
    <x:row r="140">
      <x:c r="A140" s="50"/>
      <x:c r="B140" s="20"/>
      <x:c r="C140" s="20"/>
      <x:c r="D140" s="52"/>
      <x:c r="E140" s="52"/>
      <x:c r="F140" s="20"/>
      <x:c r="G140" s="20"/>
      <x:c r="H140" s="20"/>
      <x:c r="I140" s="20"/>
      <x:c r="J140" s="20"/>
      <x:c r="K140" s="20"/>
      <x:c r="L140" s="20"/>
      <x:c r="M140" s="52" t="n">
        <x:f>IF(F140="Paga",IF(E140="",D140,E140),0)</x:f>
        <x:v>0</x:v>
      </x:c>
    </x:row>
    <x:row r="141">
      <x:c r="A141" s="50"/>
      <x:c r="B141" s="20"/>
      <x:c r="C141" s="20"/>
      <x:c r="D141" s="52"/>
      <x:c r="E141" s="52"/>
      <x:c r="F141" s="20"/>
      <x:c r="G141" s="20"/>
      <x:c r="H141" s="20"/>
      <x:c r="I141" s="20"/>
      <x:c r="J141" s="20"/>
      <x:c r="K141" s="20"/>
      <x:c r="L141" s="20"/>
      <x:c r="M141" s="52" t="n">
        <x:f>IF(F141="Paga",IF(E141="",D141,E141),0)</x:f>
        <x:v>0</x:v>
      </x:c>
    </x:row>
    <x:row r="142">
      <x:c r="A142" s="50"/>
      <x:c r="B142" s="20"/>
      <x:c r="C142" s="20"/>
      <x:c r="D142" s="52"/>
      <x:c r="E142" s="52"/>
      <x:c r="F142" s="20"/>
      <x:c r="G142" s="20"/>
      <x:c r="H142" s="20"/>
      <x:c r="I142" s="20"/>
      <x:c r="J142" s="20"/>
      <x:c r="K142" s="20"/>
      <x:c r="L142" s="20"/>
      <x:c r="M142" s="52" t="n">
        <x:f>IF(F142="Paga",IF(E142="",D142,E142),0)</x:f>
        <x:v>0</x:v>
      </x:c>
    </x:row>
    <x:row r="143">
      <x:c r="A143" s="50"/>
      <x:c r="B143" s="20"/>
      <x:c r="C143" s="20"/>
      <x:c r="D143" s="52"/>
      <x:c r="E143" s="52"/>
      <x:c r="F143" s="20"/>
      <x:c r="G143" s="20"/>
      <x:c r="H143" s="20"/>
      <x:c r="I143" s="20"/>
      <x:c r="J143" s="20"/>
      <x:c r="K143" s="20"/>
      <x:c r="L143" s="20"/>
      <x:c r="M143" s="52" t="n">
        <x:f>IF(F143="Paga",IF(E143="",D143,E143),0)</x:f>
        <x:v>0</x:v>
      </x:c>
    </x:row>
    <x:row r="144">
      <x:c r="A144" s="50"/>
      <x:c r="B144" s="20"/>
      <x:c r="C144" s="20"/>
      <x:c r="D144" s="52"/>
      <x:c r="E144" s="52"/>
      <x:c r="F144" s="20"/>
      <x:c r="G144" s="20"/>
      <x:c r="H144" s="20"/>
      <x:c r="I144" s="20"/>
      <x:c r="J144" s="20"/>
      <x:c r="K144" s="20"/>
      <x:c r="L144" s="20"/>
      <x:c r="M144" s="52" t="n">
        <x:f>IF(F144="Paga",IF(E144="",D144,E144),0)</x:f>
        <x:v>0</x:v>
      </x:c>
    </x:row>
    <x:row r="145">
      <x:c r="A145" s="50"/>
      <x:c r="B145" s="20"/>
      <x:c r="C145" s="20"/>
      <x:c r="D145" s="52"/>
      <x:c r="E145" s="52"/>
      <x:c r="F145" s="20"/>
      <x:c r="G145" s="20"/>
      <x:c r="H145" s="20"/>
      <x:c r="I145" s="20"/>
      <x:c r="J145" s="20"/>
      <x:c r="K145" s="20"/>
      <x:c r="L145" s="20"/>
      <x:c r="M145" s="52" t="n">
        <x:f>IF(F145="Paga",IF(E145="",D145,E145),0)</x:f>
        <x:v>0</x:v>
      </x:c>
    </x:row>
    <x:row r="146">
      <x:c r="A146" s="50"/>
      <x:c r="B146" s="20"/>
      <x:c r="C146" s="20"/>
      <x:c r="D146" s="52"/>
      <x:c r="E146" s="52"/>
      <x:c r="F146" s="20"/>
      <x:c r="G146" s="20"/>
      <x:c r="H146" s="20"/>
      <x:c r="I146" s="20"/>
      <x:c r="J146" s="20"/>
      <x:c r="K146" s="20"/>
      <x:c r="L146" s="20"/>
      <x:c r="M146" s="52" t="n">
        <x:f>IF(F146="Paga",IF(E146="",D146,E146),0)</x:f>
        <x:v>0</x:v>
      </x:c>
    </x:row>
    <x:row r="147">
      <x:c r="A147" s="50"/>
      <x:c r="B147" s="20"/>
      <x:c r="C147" s="20"/>
      <x:c r="D147" s="52"/>
      <x:c r="E147" s="52"/>
      <x:c r="F147" s="20"/>
      <x:c r="G147" s="20"/>
      <x:c r="H147" s="20"/>
      <x:c r="I147" s="20"/>
      <x:c r="J147" s="20"/>
      <x:c r="K147" s="20"/>
      <x:c r="L147" s="20"/>
      <x:c r="M147" s="52" t="n">
        <x:f>IF(F147="Paga",IF(E147="",D147,E147),0)</x:f>
        <x:v>0</x:v>
      </x:c>
    </x:row>
    <x:row r="148">
      <x:c r="A148" s="50"/>
      <x:c r="B148" s="20"/>
      <x:c r="C148" s="20"/>
      <x:c r="D148" s="52"/>
      <x:c r="E148" s="52"/>
      <x:c r="F148" s="20"/>
      <x:c r="G148" s="20"/>
      <x:c r="H148" s="20"/>
      <x:c r="I148" s="20"/>
      <x:c r="J148" s="20"/>
      <x:c r="K148" s="20"/>
      <x:c r="L148" s="20"/>
      <x:c r="M148" s="52" t="n">
        <x:f>IF(F148="Paga",IF(E148="",D148,E148),0)</x:f>
        <x:v>0</x:v>
      </x:c>
    </x:row>
    <x:row r="149">
      <x:c r="A149" s="50"/>
      <x:c r="B149" s="20"/>
      <x:c r="C149" s="20"/>
      <x:c r="D149" s="52"/>
      <x:c r="E149" s="52"/>
      <x:c r="F149" s="20"/>
      <x:c r="G149" s="20"/>
      <x:c r="H149" s="20"/>
      <x:c r="I149" s="20"/>
      <x:c r="J149" s="20"/>
      <x:c r="K149" s="20"/>
      <x:c r="L149" s="20"/>
      <x:c r="M149" s="52" t="n">
        <x:f>IF(F149="Paga",IF(E149="",D149,E149),0)</x:f>
        <x:v>0</x:v>
      </x:c>
    </x:row>
    <x:row r="150">
      <x:c r="A150" s="50"/>
      <x:c r="B150" s="20"/>
      <x:c r="C150" s="20"/>
      <x:c r="D150" s="52"/>
      <x:c r="E150" s="52"/>
      <x:c r="F150" s="20"/>
      <x:c r="G150" s="20"/>
      <x:c r="H150" s="20"/>
      <x:c r="I150" s="20"/>
      <x:c r="J150" s="20"/>
      <x:c r="K150" s="20"/>
      <x:c r="L150" s="20"/>
      <x:c r="M150" s="52" t="n">
        <x:f>IF(F150="Paga",IF(E150="",D150,E150),0)</x:f>
        <x:v>0</x:v>
      </x:c>
    </x:row>
    <x:row r="151">
      <x:c r="A151" s="50"/>
      <x:c r="B151" s="20"/>
      <x:c r="C151" s="20"/>
      <x:c r="D151" s="52"/>
      <x:c r="E151" s="52"/>
      <x:c r="F151" s="20"/>
      <x:c r="G151" s="20"/>
      <x:c r="H151" s="20"/>
      <x:c r="I151" s="20"/>
      <x:c r="J151" s="20"/>
      <x:c r="K151" s="20"/>
      <x:c r="L151" s="20"/>
      <x:c r="M151" s="52" t="n">
        <x:f>IF(F151="Paga",IF(E151="",D151,E151),0)</x:f>
        <x:v>0</x:v>
      </x:c>
    </x:row>
    <x:row r="152">
      <x:c r="A152" s="50"/>
      <x:c r="B152" s="20"/>
      <x:c r="C152" s="20"/>
      <x:c r="D152" s="52"/>
      <x:c r="E152" s="52"/>
      <x:c r="F152" s="20"/>
      <x:c r="G152" s="20"/>
      <x:c r="H152" s="20"/>
      <x:c r="I152" s="20"/>
      <x:c r="J152" s="20"/>
      <x:c r="K152" s="20"/>
      <x:c r="L152" s="20"/>
      <x:c r="M152" s="52" t="n">
        <x:f>IF(F152="Paga",IF(E152="",D152,E152),0)</x:f>
        <x:v>0</x:v>
      </x:c>
    </x:row>
    <x:row r="153">
      <x:c r="A153" s="50"/>
      <x:c r="B153" s="20"/>
      <x:c r="C153" s="20"/>
      <x:c r="D153" s="52"/>
      <x:c r="E153" s="52"/>
      <x:c r="F153" s="20"/>
      <x:c r="G153" s="20"/>
      <x:c r="H153" s="20"/>
      <x:c r="I153" s="20"/>
      <x:c r="J153" s="20"/>
      <x:c r="K153" s="20"/>
      <x:c r="L153" s="20"/>
      <x:c r="M153" s="52" t="n">
        <x:f>IF(F153="Paga",IF(E153="",D153,E153),0)</x:f>
        <x:v>0</x:v>
      </x:c>
    </x:row>
    <x:row r="154">
      <x:c r="A154" s="50"/>
      <x:c r="B154" s="20"/>
      <x:c r="C154" s="20"/>
      <x:c r="D154" s="52"/>
      <x:c r="E154" s="52"/>
      <x:c r="F154" s="20"/>
      <x:c r="G154" s="20"/>
      <x:c r="H154" s="20"/>
      <x:c r="I154" s="20"/>
      <x:c r="J154" s="20"/>
      <x:c r="K154" s="20"/>
      <x:c r="L154" s="20"/>
      <x:c r="M154" s="52" t="n">
        <x:f>IF(F154="Paga",IF(E154="",D154,E154),0)</x:f>
        <x:v>0</x:v>
      </x:c>
    </x:row>
    <x:row r="155">
      <x:c r="A155" s="50"/>
      <x:c r="B155" s="20"/>
      <x:c r="C155" s="20"/>
      <x:c r="D155" s="52"/>
      <x:c r="E155" s="52"/>
      <x:c r="F155" s="20"/>
      <x:c r="G155" s="20"/>
      <x:c r="H155" s="20"/>
      <x:c r="I155" s="20"/>
      <x:c r="J155" s="20"/>
      <x:c r="K155" s="20"/>
      <x:c r="L155" s="20"/>
      <x:c r="M155" s="52" t="n">
        <x:f>IF(F155="Paga",IF(E155="",D155,E155),0)</x:f>
        <x:v>0</x:v>
      </x:c>
    </x:row>
    <x:row r="156">
      <x:c r="A156" s="50"/>
      <x:c r="B156" s="20"/>
      <x:c r="C156" s="20"/>
      <x:c r="D156" s="52"/>
      <x:c r="E156" s="52"/>
      <x:c r="F156" s="20"/>
      <x:c r="G156" s="20"/>
      <x:c r="H156" s="20"/>
      <x:c r="I156" s="20"/>
      <x:c r="J156" s="20"/>
      <x:c r="K156" s="20"/>
      <x:c r="L156" s="20"/>
      <x:c r="M156" s="52" t="n">
        <x:f>IF(F156="Paga",IF(E156="",D156,E156),0)</x:f>
        <x:v>0</x:v>
      </x:c>
    </x:row>
    <x:row r="157">
      <x:c r="A157" s="50"/>
      <x:c r="B157" s="20"/>
      <x:c r="C157" s="20"/>
      <x:c r="D157" s="52"/>
      <x:c r="E157" s="52"/>
      <x:c r="F157" s="20"/>
      <x:c r="G157" s="20"/>
      <x:c r="H157" s="20"/>
      <x:c r="I157" s="20"/>
      <x:c r="J157" s="20"/>
      <x:c r="K157" s="20"/>
      <x:c r="L157" s="20"/>
      <x:c r="M157" s="52" t="n">
        <x:f>IF(F157="Paga",IF(E157="",D157,E157),0)</x:f>
        <x:v>0</x:v>
      </x:c>
    </x:row>
    <x:row r="158">
      <x:c r="A158" s="50"/>
      <x:c r="B158" s="20"/>
      <x:c r="C158" s="20"/>
      <x:c r="D158" s="52"/>
      <x:c r="E158" s="52"/>
      <x:c r="F158" s="20"/>
      <x:c r="G158" s="20"/>
      <x:c r="H158" s="20"/>
      <x:c r="I158" s="20"/>
      <x:c r="J158" s="20"/>
      <x:c r="K158" s="20"/>
      <x:c r="L158" s="20"/>
      <x:c r="M158" s="52" t="n">
        <x:f>IF(F158="Paga",IF(E158="",D158,E158),0)</x:f>
        <x:v>0</x:v>
      </x:c>
    </x:row>
    <x:row r="159">
      <x:c r="A159" s="50"/>
      <x:c r="B159" s="20"/>
      <x:c r="C159" s="20"/>
      <x:c r="D159" s="52"/>
      <x:c r="E159" s="52"/>
      <x:c r="F159" s="20"/>
      <x:c r="G159" s="20"/>
      <x:c r="H159" s="20"/>
      <x:c r="I159" s="20"/>
      <x:c r="J159" s="20"/>
      <x:c r="K159" s="20"/>
      <x:c r="L159" s="20"/>
      <x:c r="M159" s="52" t="n">
        <x:f>IF(F159="Paga",IF(E159="",D159,E159),0)</x:f>
        <x:v>0</x:v>
      </x:c>
    </x:row>
    <x:row r="160">
      <x:c r="A160" s="50"/>
      <x:c r="B160" s="20"/>
      <x:c r="C160" s="20"/>
      <x:c r="D160" s="52"/>
      <x:c r="E160" s="52"/>
      <x:c r="F160" s="20"/>
      <x:c r="G160" s="20"/>
      <x:c r="H160" s="20"/>
      <x:c r="I160" s="20"/>
      <x:c r="J160" s="20"/>
      <x:c r="K160" s="20"/>
      <x:c r="L160" s="20"/>
      <x:c r="M160" s="52" t="n">
        <x:f>IF(F160="Paga",IF(E160="",D160,E160),0)</x:f>
        <x:v>0</x:v>
      </x:c>
    </x:row>
    <x:row r="161">
      <x:c r="A161" s="50"/>
      <x:c r="B161" s="20"/>
      <x:c r="C161" s="20"/>
      <x:c r="D161" s="52"/>
      <x:c r="E161" s="52"/>
      <x:c r="F161" s="20"/>
      <x:c r="G161" s="20"/>
      <x:c r="H161" s="20"/>
      <x:c r="I161" s="20"/>
      <x:c r="J161" s="20"/>
      <x:c r="K161" s="20"/>
      <x:c r="L161" s="20"/>
      <x:c r="M161" s="52" t="n">
        <x:f>IF(F161="Paga",IF(E161="",D161,E161),0)</x:f>
        <x:v>0</x:v>
      </x:c>
    </x:row>
    <x:row r="162">
      <x:c r="A162" s="50"/>
      <x:c r="B162" s="20"/>
      <x:c r="C162" s="20"/>
      <x:c r="D162" s="52"/>
      <x:c r="E162" s="52"/>
      <x:c r="F162" s="20"/>
      <x:c r="G162" s="20"/>
      <x:c r="H162" s="20"/>
      <x:c r="I162" s="20"/>
      <x:c r="J162" s="20"/>
      <x:c r="K162" s="20"/>
      <x:c r="L162" s="20"/>
      <x:c r="M162" s="52" t="n">
        <x:f>IF(F162="Paga",IF(E162="",D162,E162),0)</x:f>
        <x:v>0</x:v>
      </x:c>
    </x:row>
    <x:row r="163">
      <x:c r="A163" s="50"/>
      <x:c r="B163" s="20"/>
      <x:c r="C163" s="20"/>
      <x:c r="D163" s="52"/>
      <x:c r="E163" s="52"/>
      <x:c r="F163" s="20"/>
      <x:c r="G163" s="20"/>
      <x:c r="H163" s="20"/>
      <x:c r="I163" s="20"/>
      <x:c r="J163" s="20"/>
      <x:c r="K163" s="20"/>
      <x:c r="L163" s="20"/>
      <x:c r="M163" s="52" t="n">
        <x:f>IF(F163="Paga",IF(E163="",D163,E163),0)</x:f>
        <x:v>0</x:v>
      </x:c>
    </x:row>
    <x:row r="164">
      <x:c r="A164" s="50"/>
      <x:c r="B164" s="20"/>
      <x:c r="C164" s="20"/>
      <x:c r="D164" s="52"/>
      <x:c r="E164" s="52"/>
      <x:c r="F164" s="20"/>
      <x:c r="G164" s="20"/>
      <x:c r="H164" s="20"/>
      <x:c r="I164" s="20"/>
      <x:c r="J164" s="20"/>
      <x:c r="K164" s="20"/>
      <x:c r="L164" s="20"/>
      <x:c r="M164" s="52" t="n">
        <x:f>IF(F164="Paga",IF(E164="",D164,E164),0)</x:f>
        <x:v>0</x:v>
      </x:c>
    </x:row>
    <x:row r="165">
      <x:c r="A165" s="50"/>
      <x:c r="B165" s="20"/>
      <x:c r="C165" s="20"/>
      <x:c r="D165" s="52"/>
      <x:c r="E165" s="52"/>
      <x:c r="F165" s="20"/>
      <x:c r="G165" s="20"/>
      <x:c r="H165" s="20"/>
      <x:c r="I165" s="20"/>
      <x:c r="J165" s="20"/>
      <x:c r="K165" s="20"/>
      <x:c r="L165" s="20"/>
      <x:c r="M165" s="52" t="n">
        <x:f>IF(F165="Paga",IF(E165="",D165,E165),0)</x:f>
        <x:v>0</x:v>
      </x:c>
    </x:row>
    <x:row r="166">
      <x:c r="A166" s="50"/>
      <x:c r="B166" s="20"/>
      <x:c r="C166" s="20"/>
      <x:c r="D166" s="52"/>
      <x:c r="E166" s="52"/>
      <x:c r="F166" s="20"/>
      <x:c r="G166" s="20"/>
      <x:c r="H166" s="20"/>
      <x:c r="I166" s="20"/>
      <x:c r="J166" s="20"/>
      <x:c r="K166" s="20"/>
      <x:c r="L166" s="20"/>
      <x:c r="M166" s="52" t="n">
        <x:f>IF(F166="Paga",IF(E166="",D166,E166),0)</x:f>
        <x:v>0</x:v>
      </x:c>
    </x:row>
    <x:row r="167">
      <x:c r="A167" s="50"/>
      <x:c r="B167" s="20"/>
      <x:c r="C167" s="20"/>
      <x:c r="D167" s="52"/>
      <x:c r="E167" s="52"/>
      <x:c r="F167" s="20"/>
      <x:c r="G167" s="20"/>
      <x:c r="H167" s="20"/>
      <x:c r="I167" s="20"/>
      <x:c r="J167" s="20"/>
      <x:c r="K167" s="20"/>
      <x:c r="L167" s="20"/>
      <x:c r="M167" s="52" t="n">
        <x:f>IF(F167="Paga",IF(E167="",D167,E167),0)</x:f>
        <x:v>0</x:v>
      </x:c>
    </x:row>
    <x:row r="168">
      <x:c r="A168" s="50"/>
      <x:c r="B168" s="20"/>
      <x:c r="C168" s="20"/>
      <x:c r="D168" s="52"/>
      <x:c r="E168" s="52"/>
      <x:c r="F168" s="20"/>
      <x:c r="G168" s="20"/>
      <x:c r="H168" s="20"/>
      <x:c r="I168" s="20"/>
      <x:c r="J168" s="20"/>
      <x:c r="K168" s="20"/>
      <x:c r="L168" s="20"/>
      <x:c r="M168" s="52" t="n">
        <x:f>IF(F168="Paga",IF(E168="",D168,E168),0)</x:f>
        <x:v>0</x:v>
      </x:c>
    </x:row>
    <x:row r="169">
      <x:c r="A169" s="50"/>
      <x:c r="B169" s="20"/>
      <x:c r="C169" s="20"/>
      <x:c r="D169" s="52"/>
      <x:c r="E169" s="52"/>
      <x:c r="F169" s="20"/>
      <x:c r="G169" s="20"/>
      <x:c r="H169" s="20"/>
      <x:c r="I169" s="20"/>
      <x:c r="J169" s="20"/>
      <x:c r="K169" s="20"/>
      <x:c r="L169" s="20"/>
      <x:c r="M169" s="52" t="n">
        <x:f>IF(F169="Paga",IF(E169="",D169,E169),0)</x:f>
        <x:v>0</x:v>
      </x:c>
    </x:row>
    <x:row r="170">
      <x:c r="A170" s="50"/>
      <x:c r="B170" s="20"/>
      <x:c r="C170" s="20"/>
      <x:c r="D170" s="52"/>
      <x:c r="E170" s="52"/>
      <x:c r="F170" s="20"/>
      <x:c r="G170" s="20"/>
      <x:c r="H170" s="20"/>
      <x:c r="I170" s="20"/>
      <x:c r="J170" s="20"/>
      <x:c r="K170" s="20"/>
      <x:c r="L170" s="20"/>
      <x:c r="M170" s="52" t="n">
        <x:f>IF(F170="Paga",IF(E170="",D170,E170),0)</x:f>
        <x:v>0</x:v>
      </x:c>
    </x:row>
    <x:row r="171">
      <x:c r="A171" s="50"/>
      <x:c r="B171" s="20"/>
      <x:c r="C171" s="20"/>
      <x:c r="D171" s="52"/>
      <x:c r="E171" s="52"/>
      <x:c r="F171" s="20"/>
      <x:c r="G171" s="20"/>
      <x:c r="H171" s="20"/>
      <x:c r="I171" s="20"/>
      <x:c r="J171" s="20"/>
      <x:c r="K171" s="20"/>
      <x:c r="L171" s="20"/>
      <x:c r="M171" s="52" t="n">
        <x:f>IF(F171="Paga",IF(E171="",D171,E171),0)</x:f>
        <x:v>0</x:v>
      </x:c>
    </x:row>
    <x:row r="172">
      <x:c r="A172" s="50"/>
      <x:c r="B172" s="20"/>
      <x:c r="C172" s="20"/>
      <x:c r="D172" s="52"/>
      <x:c r="E172" s="52"/>
      <x:c r="F172" s="20"/>
      <x:c r="G172" s="20"/>
      <x:c r="H172" s="20"/>
      <x:c r="I172" s="20"/>
      <x:c r="J172" s="20"/>
      <x:c r="K172" s="20"/>
      <x:c r="L172" s="20"/>
      <x:c r="M172" s="52" t="n">
        <x:f>IF(F172="Paga",IF(E172="",D172,E172),0)</x:f>
        <x:v>0</x:v>
      </x:c>
    </x:row>
    <x:row r="173">
      <x:c r="A173" s="50"/>
      <x:c r="B173" s="20"/>
      <x:c r="C173" s="20"/>
      <x:c r="D173" s="52"/>
      <x:c r="E173" s="52"/>
      <x:c r="F173" s="20"/>
      <x:c r="G173" s="20"/>
      <x:c r="H173" s="20"/>
      <x:c r="I173" s="20"/>
      <x:c r="J173" s="20"/>
      <x:c r="K173" s="20"/>
      <x:c r="L173" s="20"/>
      <x:c r="M173" s="52" t="n">
        <x:f>IF(F173="Paga",IF(E173="",D173,E173),0)</x:f>
        <x:v>0</x:v>
      </x:c>
    </x:row>
    <x:row r="174">
      <x:c r="A174" s="50"/>
      <x:c r="B174" s="20"/>
      <x:c r="C174" s="20"/>
      <x:c r="D174" s="52"/>
      <x:c r="E174" s="52"/>
      <x:c r="F174" s="20"/>
      <x:c r="G174" s="20"/>
      <x:c r="H174" s="20"/>
      <x:c r="I174" s="20"/>
      <x:c r="J174" s="20"/>
      <x:c r="K174" s="20"/>
      <x:c r="L174" s="20"/>
      <x:c r="M174" s="52" t="n">
        <x:f>IF(F174="Paga",IF(E174="",D174,E174),0)</x:f>
        <x:v>0</x:v>
      </x:c>
    </x:row>
    <x:row r="175">
      <x:c r="A175" s="50"/>
      <x:c r="B175" s="20"/>
      <x:c r="C175" s="20"/>
      <x:c r="D175" s="52"/>
      <x:c r="E175" s="52"/>
      <x:c r="F175" s="20"/>
      <x:c r="G175" s="20"/>
      <x:c r="H175" s="20"/>
      <x:c r="I175" s="20"/>
      <x:c r="J175" s="20"/>
      <x:c r="K175" s="20"/>
      <x:c r="L175" s="20"/>
      <x:c r="M175" s="52" t="n">
        <x:f>IF(F175="Paga",IF(E175="",D175,E175),0)</x:f>
        <x:v>0</x:v>
      </x:c>
    </x:row>
    <x:row r="176">
      <x:c r="A176" s="50"/>
      <x:c r="B176" s="20"/>
      <x:c r="C176" s="20"/>
      <x:c r="D176" s="52"/>
      <x:c r="E176" s="52"/>
      <x:c r="F176" s="20"/>
      <x:c r="G176" s="20"/>
      <x:c r="H176" s="20"/>
      <x:c r="I176" s="20"/>
      <x:c r="J176" s="20"/>
      <x:c r="K176" s="20"/>
      <x:c r="L176" s="20"/>
      <x:c r="M176" s="52" t="n">
        <x:f>IF(F176="Paga",IF(E176="",D176,E176),0)</x:f>
        <x:v>0</x:v>
      </x:c>
    </x:row>
    <x:row r="177">
      <x:c r="A177" s="50"/>
      <x:c r="B177" s="20"/>
      <x:c r="C177" s="20"/>
      <x:c r="D177" s="52"/>
      <x:c r="E177" s="52"/>
      <x:c r="F177" s="20"/>
      <x:c r="G177" s="20"/>
      <x:c r="H177" s="20"/>
      <x:c r="I177" s="20"/>
      <x:c r="J177" s="20"/>
      <x:c r="K177" s="20"/>
      <x:c r="L177" s="20"/>
      <x:c r="M177" s="52" t="n">
        <x:f>IF(F177="Paga",IF(E177="",D177,E177),0)</x:f>
        <x:v>0</x:v>
      </x:c>
    </x:row>
    <x:row r="178">
      <x:c r="A178" s="50"/>
      <x:c r="B178" s="20"/>
      <x:c r="C178" s="20"/>
      <x:c r="D178" s="52"/>
      <x:c r="E178" s="52"/>
      <x:c r="F178" s="20"/>
      <x:c r="G178" s="20"/>
      <x:c r="H178" s="20"/>
      <x:c r="I178" s="20"/>
      <x:c r="J178" s="20"/>
      <x:c r="K178" s="20"/>
      <x:c r="L178" s="20"/>
      <x:c r="M178" s="52" t="n">
        <x:f>IF(F178="Paga",IF(E178="",D178,E178),0)</x:f>
        <x:v>0</x:v>
      </x:c>
    </x:row>
    <x:row r="179">
      <x:c r="A179" s="50"/>
      <x:c r="B179" s="20"/>
      <x:c r="C179" s="20"/>
      <x:c r="D179" s="52"/>
      <x:c r="E179" s="52"/>
      <x:c r="F179" s="20"/>
      <x:c r="G179" s="20"/>
      <x:c r="H179" s="20"/>
      <x:c r="I179" s="20"/>
      <x:c r="J179" s="20"/>
      <x:c r="K179" s="20"/>
      <x:c r="L179" s="20"/>
      <x:c r="M179" s="52" t="n">
        <x:f>IF(F179="Paga",IF(E179="",D179,E179),0)</x:f>
        <x:v>0</x:v>
      </x:c>
    </x:row>
    <x:row r="180">
      <x:c r="A180" s="50"/>
      <x:c r="B180" s="20"/>
      <x:c r="C180" s="20"/>
      <x:c r="D180" s="52"/>
      <x:c r="E180" s="52"/>
      <x:c r="F180" s="20"/>
      <x:c r="G180" s="20"/>
      <x:c r="H180" s="20"/>
      <x:c r="I180" s="20"/>
      <x:c r="J180" s="20"/>
      <x:c r="K180" s="20"/>
      <x:c r="L180" s="20"/>
      <x:c r="M180" s="52" t="n">
        <x:f>IF(F180="Paga",IF(E180="",D180,E180),0)</x:f>
        <x:v>0</x:v>
      </x:c>
    </x:row>
    <x:row r="181">
      <x:c r="A181" s="50"/>
      <x:c r="B181" s="20"/>
      <x:c r="C181" s="20"/>
      <x:c r="D181" s="52"/>
      <x:c r="E181" s="52"/>
      <x:c r="F181" s="20"/>
      <x:c r="G181" s="20"/>
      <x:c r="H181" s="20"/>
      <x:c r="I181" s="20"/>
      <x:c r="J181" s="20"/>
      <x:c r="K181" s="20"/>
      <x:c r="L181" s="20"/>
      <x:c r="M181" s="52" t="n">
        <x:f>IF(F181="Paga",IF(E181="",D181,E181),0)</x:f>
        <x:v>0</x:v>
      </x:c>
    </x:row>
    <x:row r="182">
      <x:c r="A182" s="50"/>
      <x:c r="B182" s="20"/>
      <x:c r="C182" s="20"/>
      <x:c r="D182" s="52"/>
      <x:c r="E182" s="52"/>
      <x:c r="F182" s="20"/>
      <x:c r="G182" s="20"/>
      <x:c r="H182" s="20"/>
      <x:c r="I182" s="20"/>
      <x:c r="J182" s="20"/>
      <x:c r="K182" s="20"/>
      <x:c r="L182" s="20"/>
      <x:c r="M182" s="52" t="n">
        <x:f>IF(F182="Paga",IF(E182="",D182,E182),0)</x:f>
        <x:v>0</x:v>
      </x:c>
    </x:row>
    <x:row r="183">
      <x:c r="A183" s="50"/>
      <x:c r="B183" s="20"/>
      <x:c r="C183" s="20"/>
      <x:c r="D183" s="52"/>
      <x:c r="E183" s="52"/>
      <x:c r="F183" s="20"/>
      <x:c r="G183" s="20"/>
      <x:c r="H183" s="20"/>
      <x:c r="I183" s="20"/>
      <x:c r="J183" s="20"/>
      <x:c r="K183" s="20"/>
      <x:c r="L183" s="20"/>
      <x:c r="M183" s="52" t="n">
        <x:f>IF(F183="Paga",IF(E183="",D183,E183),0)</x:f>
        <x:v>0</x:v>
      </x:c>
    </x:row>
    <x:row r="184">
      <x:c r="A184" s="50"/>
      <x:c r="B184" s="20"/>
      <x:c r="C184" s="20"/>
      <x:c r="D184" s="52"/>
      <x:c r="E184" s="52"/>
      <x:c r="F184" s="20"/>
      <x:c r="G184" s="20"/>
      <x:c r="H184" s="20"/>
      <x:c r="I184" s="20"/>
      <x:c r="J184" s="20"/>
      <x:c r="K184" s="20"/>
      <x:c r="L184" s="20"/>
      <x:c r="M184" s="52" t="n">
        <x:f>IF(F184="Paga",IF(E184="",D184,E184),0)</x:f>
        <x:v>0</x:v>
      </x:c>
    </x:row>
    <x:row r="185">
      <x:c r="A185" s="50"/>
      <x:c r="B185" s="20"/>
      <x:c r="C185" s="20"/>
      <x:c r="D185" s="52"/>
      <x:c r="E185" s="52"/>
      <x:c r="F185" s="20"/>
      <x:c r="G185" s="20"/>
      <x:c r="H185" s="20"/>
      <x:c r="I185" s="20"/>
      <x:c r="J185" s="20"/>
      <x:c r="K185" s="20"/>
      <x:c r="L185" s="20"/>
      <x:c r="M185" s="52" t="n">
        <x:f>IF(F185="Paga",IF(E185="",D185,E185),0)</x:f>
        <x:v>0</x:v>
      </x:c>
    </x:row>
    <x:row r="186">
      <x:c r="A186" s="50"/>
      <x:c r="B186" s="20"/>
      <x:c r="C186" s="20"/>
      <x:c r="D186" s="52"/>
      <x:c r="E186" s="52"/>
      <x:c r="F186" s="20"/>
      <x:c r="G186" s="20"/>
      <x:c r="H186" s="20"/>
      <x:c r="I186" s="20"/>
      <x:c r="J186" s="20"/>
      <x:c r="K186" s="20"/>
      <x:c r="L186" s="20"/>
      <x:c r="M186" s="52" t="n">
        <x:f>IF(F186="Paga",IF(E186="",D186,E186),0)</x:f>
        <x:v>0</x:v>
      </x:c>
    </x:row>
    <x:row r="187">
      <x:c r="A187" s="50"/>
      <x:c r="B187" s="20"/>
      <x:c r="C187" s="20"/>
      <x:c r="D187" s="52"/>
      <x:c r="E187" s="52"/>
      <x:c r="F187" s="20"/>
      <x:c r="G187" s="20"/>
      <x:c r="H187" s="20"/>
      <x:c r="I187" s="20"/>
      <x:c r="J187" s="20"/>
      <x:c r="K187" s="20"/>
      <x:c r="L187" s="20"/>
      <x:c r="M187" s="52" t="n">
        <x:f>IF(F187="Paga",IF(E187="",D187,E187),0)</x:f>
        <x:v>0</x:v>
      </x:c>
    </x:row>
    <x:row r="188">
      <x:c r="A188" s="50"/>
      <x:c r="B188" s="20"/>
      <x:c r="C188" s="20"/>
      <x:c r="D188" s="52"/>
      <x:c r="E188" s="52"/>
      <x:c r="F188" s="20"/>
      <x:c r="G188" s="20"/>
      <x:c r="H188" s="20"/>
      <x:c r="I188" s="20"/>
      <x:c r="J188" s="20"/>
      <x:c r="K188" s="20"/>
      <x:c r="L188" s="20"/>
      <x:c r="M188" s="52" t="n">
        <x:f>IF(F188="Paga",IF(E188="",D188,E188),0)</x:f>
        <x:v>0</x:v>
      </x:c>
    </x:row>
    <x:row r="189">
      <x:c r="A189" s="50"/>
      <x:c r="B189" s="20"/>
      <x:c r="C189" s="20"/>
      <x:c r="D189" s="52"/>
      <x:c r="E189" s="52"/>
      <x:c r="F189" s="20"/>
      <x:c r="G189" s="20"/>
      <x:c r="H189" s="20"/>
      <x:c r="I189" s="20"/>
      <x:c r="J189" s="20"/>
      <x:c r="K189" s="20"/>
      <x:c r="L189" s="20"/>
      <x:c r="M189" s="52" t="n">
        <x:f>IF(F189="Paga",IF(E189="",D189,E189),0)</x:f>
        <x:v>0</x:v>
      </x:c>
    </x:row>
    <x:row r="190">
      <x:c r="A190" s="50"/>
      <x:c r="B190" s="20"/>
      <x:c r="C190" s="20"/>
      <x:c r="D190" s="52"/>
      <x:c r="E190" s="52"/>
      <x:c r="F190" s="20"/>
      <x:c r="G190" s="20"/>
      <x:c r="H190" s="20"/>
      <x:c r="I190" s="20"/>
      <x:c r="J190" s="20"/>
      <x:c r="K190" s="20"/>
      <x:c r="L190" s="20"/>
      <x:c r="M190" s="52" t="n">
        <x:f>IF(F190="Paga",IF(E190="",D190,E190),0)</x:f>
        <x:v>0</x:v>
      </x:c>
    </x:row>
    <x:row r="191">
      <x:c r="A191" s="50"/>
      <x:c r="B191" s="20"/>
      <x:c r="C191" s="20"/>
      <x:c r="D191" s="52"/>
      <x:c r="E191" s="52"/>
      <x:c r="F191" s="20"/>
      <x:c r="G191" s="20"/>
      <x:c r="H191" s="20"/>
      <x:c r="I191" s="20"/>
      <x:c r="J191" s="20"/>
      <x:c r="K191" s="20"/>
      <x:c r="L191" s="20"/>
      <x:c r="M191" s="52" t="n">
        <x:f>IF(F191="Paga",IF(E191="",D191,E191),0)</x:f>
        <x:v>0</x:v>
      </x:c>
    </x:row>
    <x:row r="192">
      <x:c r="A192" s="50"/>
      <x:c r="B192" s="20"/>
      <x:c r="C192" s="20"/>
      <x:c r="D192" s="52"/>
      <x:c r="E192" s="52"/>
      <x:c r="F192" s="20"/>
      <x:c r="G192" s="20"/>
      <x:c r="H192" s="20"/>
      <x:c r="I192" s="20"/>
      <x:c r="J192" s="20"/>
      <x:c r="K192" s="20"/>
      <x:c r="L192" s="20"/>
      <x:c r="M192" s="52" t="n">
        <x:f>IF(F192="Paga",IF(E192="",D192,E192),0)</x:f>
        <x:v>0</x:v>
      </x:c>
    </x:row>
    <x:row r="193">
      <x:c r="A193" s="50"/>
      <x:c r="B193" s="20"/>
      <x:c r="C193" s="20"/>
      <x:c r="D193" s="52"/>
      <x:c r="E193" s="52"/>
      <x:c r="F193" s="20"/>
      <x:c r="G193" s="20"/>
      <x:c r="H193" s="20"/>
      <x:c r="I193" s="20"/>
      <x:c r="J193" s="20"/>
      <x:c r="K193" s="20"/>
      <x:c r="L193" s="20"/>
      <x:c r="M193" s="52" t="n">
        <x:f>IF(F193="Paga",IF(E193="",D193,E193),0)</x:f>
        <x:v>0</x:v>
      </x:c>
    </x:row>
    <x:row r="194">
      <x:c r="A194" s="50"/>
      <x:c r="B194" s="20"/>
      <x:c r="C194" s="20"/>
      <x:c r="D194" s="52"/>
      <x:c r="E194" s="52"/>
      <x:c r="F194" s="20"/>
      <x:c r="G194" s="20"/>
      <x:c r="H194" s="20"/>
      <x:c r="I194" s="20"/>
      <x:c r="J194" s="20"/>
      <x:c r="K194" s="20"/>
      <x:c r="L194" s="20"/>
      <x:c r="M194" s="52" t="n">
        <x:f>IF(F194="Paga",IF(E194="",D194,E194),0)</x:f>
        <x:v>0</x:v>
      </x:c>
    </x:row>
    <x:row r="195">
      <x:c r="A195" s="50"/>
      <x:c r="B195" s="20"/>
      <x:c r="C195" s="20"/>
      <x:c r="D195" s="52"/>
      <x:c r="E195" s="52"/>
      <x:c r="F195" s="20"/>
      <x:c r="G195" s="20"/>
      <x:c r="H195" s="20"/>
      <x:c r="I195" s="20"/>
      <x:c r="J195" s="20"/>
      <x:c r="K195" s="20"/>
      <x:c r="L195" s="20"/>
      <x:c r="M195" s="52" t="n">
        <x:f>IF(F195="Paga",IF(E195="",D195,E195),0)</x:f>
        <x:v>0</x:v>
      </x:c>
    </x:row>
    <x:row r="196">
      <x:c r="A196" s="50"/>
      <x:c r="B196" s="20"/>
      <x:c r="C196" s="20"/>
      <x:c r="D196" s="52"/>
      <x:c r="E196" s="52"/>
      <x:c r="F196" s="20"/>
      <x:c r="G196" s="20"/>
      <x:c r="H196" s="20"/>
      <x:c r="I196" s="20"/>
      <x:c r="J196" s="20"/>
      <x:c r="K196" s="20"/>
      <x:c r="L196" s="20"/>
      <x:c r="M196" s="52" t="n">
        <x:f>IF(F196="Paga",IF(E196="",D196,E196),0)</x:f>
        <x:v>0</x:v>
      </x:c>
    </x:row>
    <x:row r="197">
      <x:c r="A197" s="50"/>
      <x:c r="B197" s="20"/>
      <x:c r="C197" s="20"/>
      <x:c r="D197" s="52"/>
      <x:c r="E197" s="52"/>
      <x:c r="F197" s="20"/>
      <x:c r="G197" s="20"/>
      <x:c r="H197" s="20"/>
      <x:c r="I197" s="20"/>
      <x:c r="J197" s="20"/>
      <x:c r="K197" s="20"/>
      <x:c r="L197" s="20"/>
      <x:c r="M197" s="52" t="n">
        <x:f>IF(F197="Paga",IF(E197="",D197,E197),0)</x:f>
        <x:v>0</x:v>
      </x:c>
    </x:row>
    <x:row r="198">
      <x:c r="A198" s="50"/>
      <x:c r="B198" s="20"/>
      <x:c r="C198" s="20"/>
      <x:c r="D198" s="52"/>
      <x:c r="E198" s="52"/>
      <x:c r="F198" s="20"/>
      <x:c r="G198" s="20"/>
      <x:c r="H198" s="20"/>
      <x:c r="I198" s="20"/>
      <x:c r="J198" s="20"/>
      <x:c r="K198" s="20"/>
      <x:c r="L198" s="20"/>
      <x:c r="M198" s="52" t="n">
        <x:f>IF(F198="Paga",IF(E198="",D198,E198),0)</x:f>
        <x:v>0</x:v>
      </x:c>
    </x:row>
    <x:row r="199">
      <x:c r="A199" s="50"/>
      <x:c r="B199" s="20"/>
      <x:c r="C199" s="20"/>
      <x:c r="D199" s="52"/>
      <x:c r="E199" s="52"/>
      <x:c r="F199" s="20"/>
      <x:c r="G199" s="20"/>
      <x:c r="H199" s="20"/>
      <x:c r="I199" s="20"/>
      <x:c r="J199" s="20"/>
      <x:c r="K199" s="20"/>
      <x:c r="L199" s="20"/>
      <x:c r="M199" s="52" t="n">
        <x:f>IF(F199="Paga",IF(E199="",D199,E199),0)</x:f>
        <x:v>0</x:v>
      </x:c>
    </x:row>
    <x:row r="200">
      <x:c r="A200" s="50"/>
      <x:c r="B200" s="20"/>
      <x:c r="C200" s="20"/>
      <x:c r="D200" s="52"/>
      <x:c r="E200" s="52"/>
      <x:c r="F200" s="20"/>
      <x:c r="G200" s="20"/>
      <x:c r="H200" s="20"/>
      <x:c r="I200" s="20"/>
      <x:c r="J200" s="20"/>
      <x:c r="K200" s="20"/>
      <x:c r="L200" s="20"/>
      <x:c r="M200" s="52" t="n">
        <x:f>IF(F200="Paga",IF(E200="",D200,E200),0)</x:f>
        <x:v>0</x:v>
      </x:c>
    </x:row>
    <x:row r="201">
      <x:c r="A201" s="50"/>
      <x:c r="B201" s="20"/>
      <x:c r="C201" s="20"/>
      <x:c r="D201" s="52"/>
      <x:c r="E201" s="52"/>
      <x:c r="F201" s="20"/>
      <x:c r="G201" s="20"/>
      <x:c r="H201" s="20"/>
      <x:c r="I201" s="20"/>
      <x:c r="J201" s="20"/>
      <x:c r="K201" s="20"/>
      <x:c r="L201" s="20"/>
      <x:c r="M201" s="52" t="n">
        <x:f>IF(F201="Paga",IF(E201="",D201,E201),0)</x:f>
        <x:v>0</x:v>
      </x:c>
    </x:row>
    <x:row r="202">
      <x:c r="A202" s="50"/>
      <x:c r="B202" s="20"/>
      <x:c r="C202" s="20"/>
      <x:c r="D202" s="52"/>
      <x:c r="E202" s="52"/>
      <x:c r="F202" s="20"/>
      <x:c r="G202" s="20"/>
      <x:c r="H202" s="20"/>
      <x:c r="I202" s="20"/>
      <x:c r="J202" s="20"/>
      <x:c r="K202" s="20"/>
      <x:c r="L202" s="20"/>
      <x:c r="M202" s="52" t="n">
        <x:f>IF(F202="Paga",IF(E202="",D202,E202),0)</x:f>
        <x:v>0</x:v>
      </x:c>
    </x:row>
    <x:row r="203">
      <x:c r="A203" s="50"/>
      <x:c r="B203" s="20"/>
      <x:c r="C203" s="20"/>
      <x:c r="D203" s="52"/>
      <x:c r="E203" s="52"/>
      <x:c r="F203" s="20"/>
      <x:c r="G203" s="20"/>
      <x:c r="H203" s="20"/>
      <x:c r="I203" s="20"/>
      <x:c r="J203" s="20"/>
      <x:c r="K203" s="20"/>
      <x:c r="L203" s="20"/>
      <x:c r="M203" s="52" t="n">
        <x:f>IF(F203="Paga",IF(E203="",D203,E203),0)</x:f>
        <x:v>0</x:v>
      </x:c>
    </x:row>
    <x:row r="204">
      <x:c r="A204" s="50"/>
      <x:c r="B204" s="20"/>
      <x:c r="C204" s="20"/>
      <x:c r="D204" s="52"/>
      <x:c r="E204" s="52"/>
      <x:c r="F204" s="20"/>
      <x:c r="G204" s="20"/>
      <x:c r="H204" s="20"/>
      <x:c r="I204" s="20"/>
      <x:c r="J204" s="20"/>
      <x:c r="K204" s="20"/>
      <x:c r="L204" s="20"/>
      <x:c r="M204" s="52" t="n">
        <x:f>IF(F204="Paga",IF(E204="",D204,E204),0)</x:f>
        <x:v>0</x:v>
      </x:c>
    </x:row>
    <x:row r="205">
      <x:c r="A205" s="50"/>
      <x:c r="B205" s="20"/>
      <x:c r="C205" s="20"/>
      <x:c r="D205" s="52"/>
      <x:c r="E205" s="52"/>
      <x:c r="F205" s="20"/>
      <x:c r="G205" s="20"/>
      <x:c r="H205" s="20"/>
      <x:c r="I205" s="20"/>
      <x:c r="J205" s="20"/>
      <x:c r="K205" s="20"/>
      <x:c r="L205" s="20"/>
      <x:c r="M205" s="52" t="n">
        <x:f>IF(F205="Paga",IF(E205="",D205,E205),0)</x:f>
        <x:v>0</x:v>
      </x:c>
    </x:row>
    <x:row r="206">
      <x:c r="A206" s="50"/>
      <x:c r="B206" s="20"/>
      <x:c r="C206" s="20"/>
      <x:c r="D206" s="52"/>
      <x:c r="E206" s="52"/>
      <x:c r="F206" s="20"/>
      <x:c r="G206" s="20"/>
      <x:c r="H206" s="20"/>
      <x:c r="I206" s="20"/>
      <x:c r="J206" s="20"/>
      <x:c r="K206" s="20"/>
      <x:c r="L206" s="20"/>
      <x:c r="M206" s="52" t="n">
        <x:f>IF(F206="Paga",IF(E206="",D206,E206),0)</x:f>
        <x:v>0</x:v>
      </x:c>
    </x:row>
    <x:row r="207">
      <x:c r="A207" s="50"/>
      <x:c r="B207" s="20"/>
      <x:c r="C207" s="20"/>
      <x:c r="D207" s="52"/>
      <x:c r="E207" s="52"/>
      <x:c r="F207" s="20"/>
      <x:c r="G207" s="20"/>
      <x:c r="H207" s="20"/>
      <x:c r="I207" s="20"/>
      <x:c r="J207" s="20"/>
      <x:c r="K207" s="20"/>
      <x:c r="L207" s="20"/>
      <x:c r="M207" s="52" t="n">
        <x:f>IF(F207="Paga",IF(E207="",D207,E207),0)</x:f>
        <x:v>0</x:v>
      </x:c>
    </x:row>
    <x:row r="208">
      <x:c r="A208" s="50"/>
      <x:c r="B208" s="20"/>
      <x:c r="C208" s="20"/>
      <x:c r="D208" s="52"/>
      <x:c r="E208" s="52"/>
      <x:c r="F208" s="20"/>
      <x:c r="G208" s="20"/>
      <x:c r="H208" s="20"/>
      <x:c r="I208" s="20"/>
      <x:c r="J208" s="20"/>
      <x:c r="K208" s="20"/>
      <x:c r="L208" s="20"/>
      <x:c r="M208" s="52" t="n">
        <x:f>IF(F208="Paga",IF(E208="",D208,E208),0)</x:f>
        <x:v>0</x:v>
      </x:c>
    </x:row>
    <x:row r="209">
      <x:c r="A209" s="50"/>
      <x:c r="B209" s="20"/>
      <x:c r="C209" s="20"/>
      <x:c r="D209" s="52"/>
      <x:c r="E209" s="52"/>
      <x:c r="F209" s="20"/>
      <x:c r="G209" s="20"/>
      <x:c r="H209" s="20"/>
      <x:c r="I209" s="20"/>
      <x:c r="J209" s="20"/>
      <x:c r="K209" s="20"/>
      <x:c r="L209" s="20"/>
      <x:c r="M209" s="52" t="n">
        <x:f>IF(F209="Paga",IF(E209="",D209,E209),0)</x:f>
        <x:v>0</x:v>
      </x:c>
    </x:row>
    <x:row r="210">
      <x:c r="A210" s="50"/>
      <x:c r="B210" s="20"/>
      <x:c r="C210" s="20"/>
      <x:c r="D210" s="52"/>
      <x:c r="E210" s="52"/>
      <x:c r="F210" s="20"/>
      <x:c r="G210" s="20"/>
      <x:c r="H210" s="20"/>
      <x:c r="I210" s="20"/>
      <x:c r="J210" s="20"/>
      <x:c r="K210" s="20"/>
      <x:c r="L210" s="20"/>
      <x:c r="M210" s="52" t="n">
        <x:f>IF(F210="Paga",IF(E210="",D210,E210),0)</x:f>
        <x:v>0</x:v>
      </x:c>
    </x:row>
    <x:row r="211">
      <x:c r="A211" s="50"/>
      <x:c r="B211" s="20"/>
      <x:c r="C211" s="20"/>
      <x:c r="D211" s="52"/>
      <x:c r="E211" s="52"/>
      <x:c r="F211" s="20"/>
      <x:c r="G211" s="20"/>
      <x:c r="H211" s="20"/>
      <x:c r="I211" s="20"/>
      <x:c r="J211" s="20"/>
      <x:c r="K211" s="20"/>
      <x:c r="L211" s="20"/>
      <x:c r="M211" s="52" t="n">
        <x:f>IF(F211="Paga",IF(E211="",D211,E211),0)</x:f>
        <x:v>0</x:v>
      </x:c>
    </x:row>
    <x:row r="212">
      <x:c r="A212" s="50"/>
      <x:c r="B212" s="20"/>
      <x:c r="C212" s="20"/>
      <x:c r="D212" s="52"/>
      <x:c r="E212" s="52"/>
      <x:c r="F212" s="20"/>
      <x:c r="G212" s="20"/>
      <x:c r="H212" s="20"/>
      <x:c r="I212" s="20"/>
      <x:c r="J212" s="20"/>
      <x:c r="K212" s="20"/>
      <x:c r="L212" s="20"/>
      <x:c r="M212" s="52" t="n">
        <x:f>IF(F212="Paga",IF(E212="",D212,E212),0)</x:f>
        <x:v>0</x:v>
      </x:c>
    </x:row>
    <x:row r="213">
      <x:c r="A213" s="50"/>
      <x:c r="B213" s="20"/>
      <x:c r="C213" s="20"/>
      <x:c r="D213" s="52"/>
      <x:c r="E213" s="52"/>
      <x:c r="F213" s="20"/>
      <x:c r="G213" s="20"/>
      <x:c r="H213" s="20"/>
      <x:c r="I213" s="20"/>
      <x:c r="J213" s="20"/>
      <x:c r="K213" s="20"/>
      <x:c r="L213" s="20"/>
      <x:c r="M213" s="52" t="n">
        <x:f>IF(F213="Paga",IF(E213="",D213,E213),0)</x:f>
        <x:v>0</x:v>
      </x:c>
    </x:row>
    <x:row r="214">
      <x:c r="A214" s="50"/>
      <x:c r="B214" s="20"/>
      <x:c r="C214" s="20"/>
      <x:c r="D214" s="52"/>
      <x:c r="E214" s="52"/>
      <x:c r="F214" s="20"/>
      <x:c r="G214" s="20"/>
      <x:c r="H214" s="20"/>
      <x:c r="I214" s="20"/>
      <x:c r="J214" s="20"/>
      <x:c r="K214" s="20"/>
      <x:c r="L214" s="20"/>
      <x:c r="M214" s="52" t="n">
        <x:f>IF(F214="Paga",IF(E214="",D214,E214),0)</x:f>
        <x:v>0</x:v>
      </x:c>
    </x:row>
    <x:row r="215">
      <x:c r="A215" s="50"/>
      <x:c r="B215" s="20"/>
      <x:c r="C215" s="20"/>
      <x:c r="D215" s="52"/>
      <x:c r="E215" s="52"/>
      <x:c r="F215" s="20"/>
      <x:c r="G215" s="20"/>
      <x:c r="H215" s="20"/>
      <x:c r="I215" s="20"/>
      <x:c r="J215" s="20"/>
      <x:c r="K215" s="20"/>
      <x:c r="L215" s="20"/>
      <x:c r="M215" s="52" t="n">
        <x:f>IF(F215="Paga",IF(E215="",D215,E215),0)</x:f>
        <x:v>0</x:v>
      </x:c>
    </x:row>
    <x:row r="216">
      <x:c r="A216" s="50"/>
      <x:c r="B216" s="20"/>
      <x:c r="C216" s="20"/>
      <x:c r="D216" s="52"/>
      <x:c r="E216" s="52"/>
      <x:c r="F216" s="20"/>
      <x:c r="G216" s="20"/>
      <x:c r="H216" s="20"/>
      <x:c r="I216" s="20"/>
      <x:c r="J216" s="20"/>
      <x:c r="K216" s="20"/>
      <x:c r="L216" s="20"/>
      <x:c r="M216" s="52" t="n">
        <x:f>IF(F216="Paga",IF(E216="",D216,E216),0)</x:f>
        <x:v>0</x:v>
      </x:c>
    </x:row>
    <x:row r="217">
      <x:c r="A217" s="50"/>
      <x:c r="B217" s="20"/>
      <x:c r="C217" s="20"/>
      <x:c r="D217" s="52"/>
      <x:c r="E217" s="52"/>
      <x:c r="F217" s="20"/>
      <x:c r="G217" s="20"/>
      <x:c r="H217" s="20"/>
      <x:c r="I217" s="20"/>
      <x:c r="J217" s="20"/>
      <x:c r="K217" s="20"/>
      <x:c r="L217" s="20"/>
      <x:c r="M217" s="52" t="n">
        <x:f>IF(F217="Paga",IF(E217="",D217,E217),0)</x:f>
        <x:v>0</x:v>
      </x:c>
    </x:row>
    <x:row r="218">
      <x:c r="A218" s="50"/>
      <x:c r="B218" s="20"/>
      <x:c r="C218" s="20"/>
      <x:c r="D218" s="52"/>
      <x:c r="E218" s="52"/>
      <x:c r="F218" s="20"/>
      <x:c r="G218" s="20"/>
      <x:c r="H218" s="20"/>
      <x:c r="I218" s="20"/>
      <x:c r="J218" s="20"/>
      <x:c r="K218" s="20"/>
      <x:c r="L218" s="20"/>
      <x:c r="M218" s="52" t="n">
        <x:f>IF(F218="Paga",IF(E218="",D218,E218),0)</x:f>
        <x:v>0</x:v>
      </x:c>
    </x:row>
    <x:row r="219">
      <x:c r="A219" s="50"/>
      <x:c r="B219" s="20"/>
      <x:c r="C219" s="20"/>
      <x:c r="D219" s="52"/>
      <x:c r="E219" s="52"/>
      <x:c r="F219" s="20"/>
      <x:c r="G219" s="20"/>
      <x:c r="H219" s="20"/>
      <x:c r="I219" s="20"/>
      <x:c r="J219" s="20"/>
      <x:c r="K219" s="20"/>
      <x:c r="L219" s="20"/>
      <x:c r="M219" s="52" t="n">
        <x:f>IF(F219="Paga",IF(E219="",D219,E219),0)</x:f>
        <x:v>0</x:v>
      </x:c>
    </x:row>
    <x:row r="220">
      <x:c r="A220" s="50"/>
      <x:c r="B220" s="20"/>
      <x:c r="C220" s="20"/>
      <x:c r="D220" s="52"/>
      <x:c r="E220" s="52"/>
      <x:c r="F220" s="20"/>
      <x:c r="G220" s="20"/>
      <x:c r="H220" s="20"/>
      <x:c r="I220" s="20"/>
      <x:c r="J220" s="20"/>
      <x:c r="K220" s="20"/>
      <x:c r="L220" s="20"/>
      <x:c r="M220" s="52" t="n">
        <x:f>IF(F220="Paga",IF(E220="",D220,E220),0)</x:f>
        <x:v>0</x:v>
      </x:c>
    </x:row>
    <x:row r="221">
      <x:c r="A221" s="50"/>
      <x:c r="B221" s="20"/>
      <x:c r="C221" s="20"/>
      <x:c r="D221" s="52"/>
      <x:c r="E221" s="52"/>
      <x:c r="F221" s="20"/>
      <x:c r="G221" s="20"/>
      <x:c r="H221" s="20"/>
      <x:c r="I221" s="20"/>
      <x:c r="J221" s="20"/>
      <x:c r="K221" s="20"/>
      <x:c r="L221" s="20"/>
      <x:c r="M221" s="52" t="n">
        <x:f>IF(F221="Paga",IF(E221="",D221,E221),0)</x:f>
        <x:v>0</x:v>
      </x:c>
    </x:row>
    <x:row r="222">
      <x:c r="A222" s="50"/>
      <x:c r="B222" s="20"/>
      <x:c r="C222" s="20"/>
      <x:c r="D222" s="52"/>
      <x:c r="E222" s="52"/>
      <x:c r="F222" s="20"/>
      <x:c r="G222" s="20"/>
      <x:c r="H222" s="20"/>
      <x:c r="I222" s="20"/>
      <x:c r="J222" s="20"/>
      <x:c r="K222" s="20"/>
      <x:c r="L222" s="20"/>
      <x:c r="M222" s="52" t="n">
        <x:f>IF(F222="Paga",IF(E222="",D222,E222),0)</x:f>
        <x:v>0</x:v>
      </x:c>
    </x:row>
    <x:row r="223">
      <x:c r="A223" s="50"/>
      <x:c r="B223" s="20"/>
      <x:c r="C223" s="20"/>
      <x:c r="D223" s="52"/>
      <x:c r="E223" s="52"/>
      <x:c r="F223" s="20"/>
      <x:c r="G223" s="20"/>
      <x:c r="H223" s="20"/>
      <x:c r="I223" s="20"/>
      <x:c r="J223" s="20"/>
      <x:c r="K223" s="20"/>
      <x:c r="L223" s="20"/>
      <x:c r="M223" s="52" t="n">
        <x:f>IF(F223="Paga",IF(E223="",D223,E223),0)</x:f>
        <x:v>0</x:v>
      </x:c>
    </x:row>
    <x:row r="224">
      <x:c r="A224" s="50"/>
      <x:c r="B224" s="20"/>
      <x:c r="C224" s="20"/>
      <x:c r="D224" s="52"/>
      <x:c r="E224" s="52"/>
      <x:c r="F224" s="20"/>
      <x:c r="G224" s="20"/>
      <x:c r="H224" s="20"/>
      <x:c r="I224" s="20"/>
      <x:c r="J224" s="20"/>
      <x:c r="K224" s="20"/>
      <x:c r="L224" s="20"/>
      <x:c r="M224" s="52" t="n">
        <x:f>IF(F224="Paga",IF(E224="",D224,E224),0)</x:f>
        <x:v>0</x:v>
      </x:c>
    </x:row>
    <x:row r="225">
      <x:c r="A225" s="50"/>
      <x:c r="B225" s="20"/>
      <x:c r="C225" s="20"/>
      <x:c r="D225" s="52"/>
      <x:c r="E225" s="52"/>
      <x:c r="F225" s="20"/>
      <x:c r="G225" s="20"/>
      <x:c r="H225" s="20"/>
      <x:c r="I225" s="20"/>
      <x:c r="J225" s="20"/>
      <x:c r="K225" s="20"/>
      <x:c r="L225" s="20"/>
      <x:c r="M225" s="52" t="n">
        <x:f>IF(F225="Paga",IF(E225="",D225,E225),0)</x:f>
        <x:v>0</x:v>
      </x:c>
    </x:row>
    <x:row r="226">
      <x:c r="A226" s="50"/>
      <x:c r="B226" s="20"/>
      <x:c r="C226" s="20"/>
      <x:c r="D226" s="52"/>
      <x:c r="E226" s="52"/>
      <x:c r="F226" s="20"/>
      <x:c r="G226" s="20"/>
      <x:c r="H226" s="20"/>
      <x:c r="I226" s="20"/>
      <x:c r="J226" s="20"/>
      <x:c r="K226" s="20"/>
      <x:c r="L226" s="20"/>
      <x:c r="M226" s="52" t="n">
        <x:f>IF(F226="Paga",IF(E226="",D226,E226),0)</x:f>
        <x:v>0</x:v>
      </x:c>
    </x:row>
    <x:row r="227">
      <x:c r="A227" s="50"/>
      <x:c r="B227" s="20"/>
      <x:c r="C227" s="20"/>
      <x:c r="D227" s="52"/>
      <x:c r="E227" s="52"/>
      <x:c r="F227" s="20"/>
      <x:c r="G227" s="20"/>
      <x:c r="H227" s="20"/>
      <x:c r="I227" s="20"/>
      <x:c r="J227" s="20"/>
      <x:c r="K227" s="20"/>
      <x:c r="L227" s="20"/>
      <x:c r="M227" s="52" t="n">
        <x:f>IF(F227="Paga",IF(E227="",D227,E227),0)</x:f>
        <x:v>0</x:v>
      </x:c>
    </x:row>
    <x:row r="228">
      <x:c r="A228" s="50"/>
      <x:c r="B228" s="20"/>
      <x:c r="C228" s="20"/>
      <x:c r="D228" s="52"/>
      <x:c r="E228" s="52"/>
      <x:c r="F228" s="20"/>
      <x:c r="G228" s="20"/>
      <x:c r="H228" s="20"/>
      <x:c r="I228" s="20"/>
      <x:c r="J228" s="20"/>
      <x:c r="K228" s="20"/>
      <x:c r="L228" s="20"/>
      <x:c r="M228" s="52" t="n">
        <x:f>IF(F228="Paga",IF(E228="",D228,E228),0)</x:f>
        <x:v>0</x:v>
      </x:c>
    </x:row>
    <x:row r="229">
      <x:c r="A229" s="50"/>
      <x:c r="B229" s="20"/>
      <x:c r="C229" s="20"/>
      <x:c r="D229" s="52"/>
      <x:c r="E229" s="52"/>
      <x:c r="F229" s="20"/>
      <x:c r="G229" s="20"/>
      <x:c r="H229" s="20"/>
      <x:c r="I229" s="20"/>
      <x:c r="J229" s="20"/>
      <x:c r="K229" s="20"/>
      <x:c r="L229" s="20"/>
      <x:c r="M229" s="52" t="n">
        <x:f>IF(F229="Paga",IF(E229="",D229,E229),0)</x:f>
        <x:v>0</x:v>
      </x:c>
    </x:row>
    <x:row r="230">
      <x:c r="A230" s="50"/>
      <x:c r="B230" s="20"/>
      <x:c r="C230" s="20"/>
      <x:c r="D230" s="52"/>
      <x:c r="E230" s="52"/>
      <x:c r="F230" s="20"/>
      <x:c r="G230" s="20"/>
      <x:c r="H230" s="20"/>
      <x:c r="I230" s="20"/>
      <x:c r="J230" s="20"/>
      <x:c r="K230" s="20"/>
      <x:c r="L230" s="20"/>
      <x:c r="M230" s="52" t="n">
        <x:f>IF(F230="Paga",IF(E230="",D230,E230),0)</x:f>
        <x:v>0</x:v>
      </x:c>
    </x:row>
    <x:row r="231">
      <x:c r="A231" s="50"/>
      <x:c r="B231" s="20"/>
      <x:c r="C231" s="20"/>
      <x:c r="D231" s="52"/>
      <x:c r="E231" s="52"/>
      <x:c r="F231" s="20"/>
      <x:c r="G231" s="20"/>
      <x:c r="H231" s="20"/>
      <x:c r="I231" s="20"/>
      <x:c r="J231" s="20"/>
      <x:c r="K231" s="20"/>
      <x:c r="L231" s="20"/>
      <x:c r="M231" s="52" t="n">
        <x:f>IF(F231="Paga",IF(E231="",D231,E231),0)</x:f>
        <x:v>0</x:v>
      </x:c>
    </x:row>
    <x:row r="232">
      <x:c r="A232" s="50"/>
      <x:c r="B232" s="20"/>
      <x:c r="C232" s="20"/>
      <x:c r="D232" s="52"/>
      <x:c r="E232" s="52"/>
      <x:c r="F232" s="20"/>
      <x:c r="G232" s="20"/>
      <x:c r="H232" s="20"/>
      <x:c r="I232" s="20"/>
      <x:c r="J232" s="20"/>
      <x:c r="K232" s="20"/>
      <x:c r="L232" s="20"/>
      <x:c r="M232" s="52" t="n">
        <x:f>IF(F232="Paga",IF(E232="",D232,E232),0)</x:f>
        <x:v>0</x:v>
      </x:c>
    </x:row>
    <x:row r="233">
      <x:c r="A233" s="50"/>
      <x:c r="B233" s="20"/>
      <x:c r="C233" s="20"/>
      <x:c r="D233" s="52"/>
      <x:c r="E233" s="52"/>
      <x:c r="F233" s="20"/>
      <x:c r="G233" s="20"/>
      <x:c r="H233" s="20"/>
      <x:c r="I233" s="20"/>
      <x:c r="J233" s="20"/>
      <x:c r="K233" s="20"/>
      <x:c r="L233" s="20"/>
      <x:c r="M233" s="52" t="n">
        <x:f>IF(F233="Paga",IF(E233="",D233,E233),0)</x:f>
        <x:v>0</x:v>
      </x:c>
    </x:row>
    <x:row r="234">
      <x:c r="A234" s="50"/>
      <x:c r="B234" s="20"/>
      <x:c r="C234" s="20"/>
      <x:c r="D234" s="52"/>
      <x:c r="E234" s="52"/>
      <x:c r="F234" s="20"/>
      <x:c r="G234" s="20"/>
      <x:c r="H234" s="20"/>
      <x:c r="I234" s="20"/>
      <x:c r="J234" s="20"/>
      <x:c r="K234" s="20"/>
      <x:c r="L234" s="20"/>
      <x:c r="M234" s="52" t="n">
        <x:f>IF(F234="Paga",IF(E234="",D234,E234),0)</x:f>
        <x:v>0</x:v>
      </x:c>
    </x:row>
    <x:row r="235">
      <x:c r="A235" s="50"/>
      <x:c r="B235" s="20"/>
      <x:c r="C235" s="20"/>
      <x:c r="D235" s="52"/>
      <x:c r="E235" s="52"/>
      <x:c r="F235" s="20"/>
      <x:c r="G235" s="20"/>
      <x:c r="H235" s="20"/>
      <x:c r="I235" s="20"/>
      <x:c r="J235" s="20"/>
      <x:c r="K235" s="20"/>
      <x:c r="L235" s="20"/>
      <x:c r="M235" s="52" t="n">
        <x:f>IF(F235="Paga",IF(E235="",D235,E235),0)</x:f>
        <x:v>0</x:v>
      </x:c>
    </x:row>
    <x:row r="236">
      <x:c r="A236" s="50"/>
      <x:c r="B236" s="20"/>
      <x:c r="C236" s="20"/>
      <x:c r="D236" s="52"/>
      <x:c r="E236" s="52"/>
      <x:c r="F236" s="20"/>
      <x:c r="G236" s="20"/>
      <x:c r="H236" s="20"/>
      <x:c r="I236" s="20"/>
      <x:c r="J236" s="20"/>
      <x:c r="K236" s="20"/>
      <x:c r="L236" s="20"/>
      <x:c r="M236" s="52" t="n">
        <x:f>IF(F236="Paga",IF(E236="",D236,E236),0)</x:f>
        <x:v>0</x:v>
      </x:c>
    </x:row>
    <x:row r="237">
      <x:c r="A237" s="50"/>
      <x:c r="B237" s="20"/>
      <x:c r="C237" s="20"/>
      <x:c r="D237" s="52"/>
      <x:c r="E237" s="52"/>
      <x:c r="F237" s="20"/>
      <x:c r="G237" s="20"/>
      <x:c r="H237" s="20"/>
      <x:c r="I237" s="20"/>
      <x:c r="J237" s="20"/>
      <x:c r="K237" s="20"/>
      <x:c r="L237" s="20"/>
      <x:c r="M237" s="52" t="n">
        <x:f>IF(F237="Paga",IF(E237="",D237,E237),0)</x:f>
        <x:v>0</x:v>
      </x:c>
    </x:row>
    <x:row r="238">
      <x:c r="A238" s="50"/>
      <x:c r="B238" s="20"/>
      <x:c r="C238" s="20"/>
      <x:c r="D238" s="52"/>
      <x:c r="E238" s="52"/>
      <x:c r="F238" s="20"/>
      <x:c r="G238" s="20"/>
      <x:c r="H238" s="20"/>
      <x:c r="I238" s="20"/>
      <x:c r="J238" s="20"/>
      <x:c r="K238" s="20"/>
      <x:c r="L238" s="20"/>
      <x:c r="M238" s="52" t="n">
        <x:f>IF(F238="Paga",IF(E238="",D238,E238),0)</x:f>
        <x:v>0</x:v>
      </x:c>
    </x:row>
    <x:row r="239">
      <x:c r="A239" s="50"/>
      <x:c r="B239" s="20"/>
      <x:c r="C239" s="20"/>
      <x:c r="D239" s="52"/>
      <x:c r="E239" s="52"/>
      <x:c r="F239" s="20"/>
      <x:c r="G239" s="20"/>
      <x:c r="H239" s="20"/>
      <x:c r="I239" s="20"/>
      <x:c r="J239" s="20"/>
      <x:c r="K239" s="20"/>
      <x:c r="L239" s="20"/>
      <x:c r="M239" s="52" t="n">
        <x:f>IF(F239="Paga",IF(E239="",D239,E239),0)</x:f>
        <x:v>0</x:v>
      </x:c>
    </x:row>
    <x:row r="240">
      <x:c r="A240" s="50"/>
      <x:c r="B240" s="20"/>
      <x:c r="C240" s="20"/>
      <x:c r="D240" s="52"/>
      <x:c r="E240" s="52"/>
      <x:c r="F240" s="20"/>
      <x:c r="G240" s="20"/>
      <x:c r="H240" s="20"/>
      <x:c r="I240" s="20"/>
      <x:c r="J240" s="20"/>
      <x:c r="K240" s="20"/>
      <x:c r="L240" s="20"/>
      <x:c r="M240" s="52" t="n">
        <x:f>IF(F240="Paga",IF(E240="",D240,E240),0)</x:f>
        <x:v>0</x:v>
      </x:c>
    </x:row>
    <x:row r="241">
      <x:c r="A241" s="50"/>
      <x:c r="B241" s="20"/>
      <x:c r="C241" s="20"/>
      <x:c r="D241" s="52"/>
      <x:c r="E241" s="52"/>
      <x:c r="F241" s="20"/>
      <x:c r="G241" s="20"/>
      <x:c r="H241" s="20"/>
      <x:c r="I241" s="20"/>
      <x:c r="J241" s="20"/>
      <x:c r="K241" s="20"/>
      <x:c r="L241" s="20"/>
      <x:c r="M241" s="52" t="n">
        <x:f>IF(F241="Paga",IF(E241="",D241,E241),0)</x:f>
        <x:v>0</x:v>
      </x:c>
    </x:row>
    <x:row r="242">
      <x:c r="A242" s="50"/>
      <x:c r="B242" s="20"/>
      <x:c r="C242" s="20"/>
      <x:c r="D242" s="52"/>
      <x:c r="E242" s="52"/>
      <x:c r="F242" s="20"/>
      <x:c r="G242" s="20"/>
      <x:c r="H242" s="20"/>
      <x:c r="I242" s="20"/>
      <x:c r="J242" s="20"/>
      <x:c r="K242" s="20"/>
      <x:c r="L242" s="20"/>
      <x:c r="M242" s="52" t="n">
        <x:f>IF(F242="Paga",IF(E242="",D242,E242),0)</x:f>
        <x:v>0</x:v>
      </x:c>
    </x:row>
    <x:row r="243">
      <x:c r="A243" s="50"/>
      <x:c r="B243" s="20"/>
      <x:c r="C243" s="20"/>
      <x:c r="D243" s="52"/>
      <x:c r="E243" s="52"/>
      <x:c r="F243" s="20"/>
      <x:c r="G243" s="20"/>
      <x:c r="H243" s="20"/>
      <x:c r="I243" s="20"/>
      <x:c r="J243" s="20"/>
      <x:c r="K243" s="20"/>
      <x:c r="L243" s="20"/>
      <x:c r="M243" s="52" t="n">
        <x:f>IF(F243="Paga",IF(E243="",D243,E243),0)</x:f>
        <x:v>0</x:v>
      </x:c>
    </x:row>
    <x:row r="244">
      <x:c r="A244" s="50"/>
      <x:c r="B244" s="20"/>
      <x:c r="C244" s="20"/>
      <x:c r="D244" s="52"/>
      <x:c r="E244" s="52"/>
      <x:c r="F244" s="20"/>
      <x:c r="G244" s="20"/>
      <x:c r="H244" s="20"/>
      <x:c r="I244" s="20"/>
      <x:c r="J244" s="20"/>
      <x:c r="K244" s="20"/>
      <x:c r="L244" s="20"/>
      <x:c r="M244" s="52" t="n">
        <x:f>IF(F244="Paga",IF(E244="",D244,E244),0)</x:f>
        <x:v>0</x:v>
      </x:c>
    </x:row>
    <x:row r="245">
      <x:c r="A245" s="50"/>
      <x:c r="B245" s="20"/>
      <x:c r="C245" s="20"/>
      <x:c r="D245" s="52"/>
      <x:c r="E245" s="52"/>
      <x:c r="F245" s="20"/>
      <x:c r="G245" s="20"/>
      <x:c r="H245" s="20"/>
      <x:c r="I245" s="20"/>
      <x:c r="J245" s="20"/>
      <x:c r="K245" s="20"/>
      <x:c r="L245" s="20"/>
      <x:c r="M245" s="52" t="n">
        <x:f>IF(F245="Paga",IF(E245="",D245,E245),0)</x:f>
        <x:v>0</x:v>
      </x:c>
    </x:row>
    <x:row r="246">
      <x:c r="A246" s="50"/>
      <x:c r="B246" s="20"/>
      <x:c r="C246" s="20"/>
      <x:c r="D246" s="52"/>
      <x:c r="E246" s="52"/>
      <x:c r="F246" s="20"/>
      <x:c r="G246" s="20"/>
      <x:c r="H246" s="20"/>
      <x:c r="I246" s="20"/>
      <x:c r="J246" s="20"/>
      <x:c r="K246" s="20"/>
      <x:c r="L246" s="20"/>
      <x:c r="M246" s="52" t="n">
        <x:f>IF(F246="Paga",IF(E246="",D246,E246),0)</x:f>
        <x:v>0</x:v>
      </x:c>
    </x:row>
    <x:row r="247">
      <x:c r="A247" s="50"/>
      <x:c r="B247" s="20"/>
      <x:c r="C247" s="20"/>
      <x:c r="D247" s="52"/>
      <x:c r="E247" s="52"/>
      <x:c r="F247" s="20"/>
      <x:c r="G247" s="20"/>
      <x:c r="H247" s="20"/>
      <x:c r="I247" s="20"/>
      <x:c r="J247" s="20"/>
      <x:c r="K247" s="20"/>
      <x:c r="L247" s="20"/>
      <x:c r="M247" s="52" t="n">
        <x:f>IF(F247="Paga",IF(E247="",D247,E247),0)</x:f>
        <x:v>0</x:v>
      </x:c>
    </x:row>
    <x:row r="248">
      <x:c r="A248" s="50"/>
      <x:c r="B248" s="20"/>
      <x:c r="C248" s="20"/>
      <x:c r="D248" s="52"/>
      <x:c r="E248" s="52"/>
      <x:c r="F248" s="20"/>
      <x:c r="G248" s="20"/>
      <x:c r="H248" s="20"/>
      <x:c r="I248" s="20"/>
      <x:c r="J248" s="20"/>
      <x:c r="K248" s="20"/>
      <x:c r="L248" s="20"/>
      <x:c r="M248" s="52" t="n">
        <x:f>IF(F248="Paga",IF(E248="",D248,E248),0)</x:f>
        <x:v>0</x:v>
      </x:c>
    </x:row>
    <x:row r="249">
      <x:c r="A249" s="50"/>
      <x:c r="B249" s="20"/>
      <x:c r="C249" s="20"/>
      <x:c r="D249" s="52"/>
      <x:c r="E249" s="52"/>
      <x:c r="F249" s="20"/>
      <x:c r="G249" s="20"/>
      <x:c r="H249" s="20"/>
      <x:c r="I249" s="20"/>
      <x:c r="J249" s="20"/>
      <x:c r="K249" s="20"/>
      <x:c r="L249" s="20"/>
      <x:c r="M249" s="52" t="n">
        <x:f>IF(F249="Paga",IF(E249="",D249,E249),0)</x:f>
        <x:v>0</x:v>
      </x:c>
    </x:row>
    <x:row r="250">
      <x:c r="A250" s="50"/>
      <x:c r="B250" s="20"/>
      <x:c r="C250" s="20"/>
      <x:c r="D250" s="52"/>
      <x:c r="E250" s="52"/>
      <x:c r="F250" s="20"/>
      <x:c r="G250" s="20"/>
      <x:c r="H250" s="20"/>
      <x:c r="I250" s="20"/>
      <x:c r="J250" s="20"/>
      <x:c r="K250" s="20"/>
      <x:c r="L250" s="20"/>
      <x:c r="M250" s="52" t="n">
        <x:f>IF(F250="Paga",IF(E250="",D250,E250),0)</x:f>
        <x:v>0</x:v>
      </x:c>
    </x:row>
    <x:row r="251">
      <x:c r="A251" s="50"/>
      <x:c r="B251" s="20"/>
      <x:c r="C251" s="20"/>
      <x:c r="D251" s="52"/>
      <x:c r="E251" s="52"/>
      <x:c r="F251" s="20"/>
      <x:c r="G251" s="20"/>
      <x:c r="H251" s="20"/>
      <x:c r="I251" s="20"/>
      <x:c r="J251" s="20"/>
      <x:c r="K251" s="20"/>
      <x:c r="L251" s="20"/>
      <x:c r="M251" s="52" t="n">
        <x:f>IF(F251="Paga",IF(E251="",D251,E251),0)</x:f>
        <x:v>0</x:v>
      </x:c>
    </x:row>
    <x:row r="252">
      <x:c r="A252" s="50"/>
      <x:c r="B252" s="20"/>
      <x:c r="C252" s="20"/>
      <x:c r="D252" s="52"/>
      <x:c r="E252" s="52"/>
      <x:c r="F252" s="20"/>
      <x:c r="G252" s="20"/>
      <x:c r="H252" s="20"/>
      <x:c r="I252" s="20"/>
      <x:c r="J252" s="20"/>
      <x:c r="K252" s="20"/>
      <x:c r="L252" s="20"/>
      <x:c r="M252" s="52" t="n">
        <x:f>IF(F252="Paga",IF(E252="",D252,E252),0)</x:f>
        <x:v>0</x:v>
      </x:c>
    </x:row>
    <x:row r="253">
      <x:c r="A253" s="50"/>
      <x:c r="B253" s="20"/>
      <x:c r="C253" s="20"/>
      <x:c r="D253" s="52"/>
      <x:c r="E253" s="52"/>
      <x:c r="F253" s="20"/>
      <x:c r="G253" s="20"/>
      <x:c r="H253" s="20"/>
      <x:c r="I253" s="20"/>
      <x:c r="J253" s="20"/>
      <x:c r="K253" s="20"/>
      <x:c r="L253" s="20"/>
      <x:c r="M253" s="52" t="n">
        <x:f>IF(F253="Paga",IF(E253="",D253,E253),0)</x:f>
        <x:v>0</x:v>
      </x:c>
    </x:row>
    <x:row r="254">
      <x:c r="A254" s="50"/>
      <x:c r="B254" s="20"/>
      <x:c r="C254" s="20"/>
      <x:c r="D254" s="52"/>
      <x:c r="E254" s="52"/>
      <x:c r="F254" s="20"/>
      <x:c r="G254" s="20"/>
      <x:c r="H254" s="20"/>
      <x:c r="I254" s="20"/>
      <x:c r="J254" s="20"/>
      <x:c r="K254" s="20"/>
      <x:c r="L254" s="20"/>
      <x:c r="M254" s="52" t="n">
        <x:f>IF(F254="Paga",IF(E254="",D254,E254),0)</x:f>
        <x:v>0</x:v>
      </x:c>
    </x:row>
    <x:row r="255">
      <x:c r="A255" s="50"/>
      <x:c r="B255" s="20"/>
      <x:c r="C255" s="20"/>
      <x:c r="D255" s="52"/>
      <x:c r="E255" s="52"/>
      <x:c r="F255" s="20"/>
      <x:c r="G255" s="20"/>
      <x:c r="H255" s="20"/>
      <x:c r="I255" s="20"/>
      <x:c r="J255" s="20"/>
      <x:c r="K255" s="20"/>
      <x:c r="L255" s="20"/>
      <x:c r="M255" s="52" t="n">
        <x:f>IF(F255="Paga",IF(E255="",D255,E255),0)</x:f>
        <x:v>0</x:v>
      </x:c>
    </x:row>
    <x:row r="256">
      <x:c r="A256" s="50"/>
      <x:c r="B256" s="20"/>
      <x:c r="C256" s="20"/>
      <x:c r="D256" s="52"/>
      <x:c r="E256" s="52"/>
      <x:c r="F256" s="20"/>
      <x:c r="G256" s="20"/>
      <x:c r="H256" s="20"/>
      <x:c r="I256" s="20"/>
      <x:c r="J256" s="20"/>
      <x:c r="K256" s="20"/>
      <x:c r="L256" s="20"/>
      <x:c r="M256" s="52" t="n">
        <x:f>IF(F256="Paga",IF(E256="",D256,E256),0)</x:f>
        <x:v>0</x:v>
      </x:c>
    </x:row>
    <x:row r="257">
      <x:c r="A257" s="50"/>
      <x:c r="B257" s="20"/>
      <x:c r="C257" s="20"/>
      <x:c r="D257" s="52"/>
      <x:c r="E257" s="52"/>
      <x:c r="F257" s="20"/>
      <x:c r="G257" s="20"/>
      <x:c r="H257" s="20"/>
      <x:c r="I257" s="20"/>
      <x:c r="J257" s="20"/>
      <x:c r="K257" s="20"/>
      <x:c r="L257" s="20"/>
      <x:c r="M257" s="52" t="n">
        <x:f>IF(F257="Paga",IF(E257="",D257,E257),0)</x:f>
        <x:v>0</x:v>
      </x:c>
    </x:row>
    <x:row r="258">
      <x:c r="A258" s="50"/>
      <x:c r="B258" s="20"/>
      <x:c r="C258" s="20"/>
      <x:c r="D258" s="52"/>
      <x:c r="E258" s="52"/>
      <x:c r="F258" s="20"/>
      <x:c r="G258" s="20"/>
      <x:c r="H258" s="20"/>
      <x:c r="I258" s="20"/>
      <x:c r="J258" s="20"/>
      <x:c r="K258" s="20"/>
      <x:c r="L258" s="20"/>
      <x:c r="M258" s="52" t="n">
        <x:f>IF(F258="Paga",IF(E258="",D258,E258),0)</x:f>
        <x:v>0</x:v>
      </x:c>
    </x:row>
    <x:row r="259">
      <x:c r="A259" s="50"/>
      <x:c r="B259" s="20"/>
      <x:c r="C259" s="20"/>
      <x:c r="D259" s="52"/>
      <x:c r="E259" s="52"/>
      <x:c r="F259" s="20"/>
      <x:c r="G259" s="20"/>
      <x:c r="H259" s="20"/>
      <x:c r="I259" s="20"/>
      <x:c r="J259" s="20"/>
      <x:c r="K259" s="20"/>
      <x:c r="L259" s="20"/>
      <x:c r="M259" s="52" t="n">
        <x:f>IF(F259="Paga",IF(E259="",D259,E259),0)</x:f>
        <x:v>0</x:v>
      </x:c>
    </x:row>
    <x:row r="260">
      <x:c r="A260" s="50"/>
      <x:c r="B260" s="20"/>
      <x:c r="C260" s="20"/>
      <x:c r="D260" s="52"/>
      <x:c r="E260" s="52"/>
      <x:c r="F260" s="20"/>
      <x:c r="G260" s="20"/>
      <x:c r="H260" s="20"/>
      <x:c r="I260" s="20"/>
      <x:c r="J260" s="20"/>
      <x:c r="K260" s="20"/>
      <x:c r="L260" s="20"/>
      <x:c r="M260" s="52" t="n">
        <x:f>IF(F260="Paga",IF(E260="",D260,E260),0)</x:f>
        <x:v>0</x:v>
      </x:c>
    </x:row>
    <x:row r="261">
      <x:c r="A261" s="50"/>
      <x:c r="B261" s="20"/>
      <x:c r="C261" s="20"/>
      <x:c r="D261" s="52"/>
      <x:c r="E261" s="52"/>
      <x:c r="F261" s="20"/>
      <x:c r="G261" s="20"/>
      <x:c r="H261" s="20"/>
      <x:c r="I261" s="20"/>
      <x:c r="J261" s="20"/>
      <x:c r="K261" s="20"/>
      <x:c r="L261" s="20"/>
      <x:c r="M261" s="52" t="n">
        <x:f>IF(F261="Paga",IF(E261="",D261,E261),0)</x:f>
        <x:v>0</x:v>
      </x:c>
    </x:row>
    <x:row r="262">
      <x:c r="A262" s="50"/>
      <x:c r="B262" s="20"/>
      <x:c r="C262" s="20"/>
      <x:c r="D262" s="52"/>
      <x:c r="E262" s="52"/>
      <x:c r="F262" s="20"/>
      <x:c r="G262" s="20"/>
      <x:c r="H262" s="20"/>
      <x:c r="I262" s="20"/>
      <x:c r="J262" s="20"/>
      <x:c r="K262" s="20"/>
      <x:c r="L262" s="20"/>
      <x:c r="M262" s="52" t="n">
        <x:f>IF(F262="Paga",IF(E262="",D262,E262),0)</x:f>
        <x:v>0</x:v>
      </x:c>
    </x:row>
    <x:row r="263">
      <x:c r="A263" s="50"/>
      <x:c r="B263" s="20"/>
      <x:c r="C263" s="20"/>
      <x:c r="D263" s="52"/>
      <x:c r="E263" s="52"/>
      <x:c r="F263" s="20"/>
      <x:c r="G263" s="20"/>
      <x:c r="H263" s="20"/>
      <x:c r="I263" s="20"/>
      <x:c r="J263" s="20"/>
      <x:c r="K263" s="20"/>
      <x:c r="L263" s="20"/>
      <x:c r="M263" s="52" t="n">
        <x:f>IF(F263="Paga",IF(E263="",D263,E263),0)</x:f>
        <x:v>0</x:v>
      </x:c>
    </x:row>
    <x:row r="264">
      <x:c r="A264" s="50"/>
      <x:c r="B264" s="20"/>
      <x:c r="C264" s="20"/>
      <x:c r="D264" s="52"/>
      <x:c r="E264" s="52"/>
      <x:c r="F264" s="20"/>
      <x:c r="G264" s="20"/>
      <x:c r="H264" s="20"/>
      <x:c r="I264" s="20"/>
      <x:c r="J264" s="20"/>
      <x:c r="K264" s="20"/>
      <x:c r="L264" s="20"/>
      <x:c r="M264" s="52" t="n">
        <x:f>IF(F264="Paga",IF(E264="",D264,E264),0)</x:f>
        <x:v>0</x:v>
      </x:c>
    </x:row>
    <x:row r="265">
      <x:c r="A265" s="50"/>
      <x:c r="B265" s="20"/>
      <x:c r="C265" s="20"/>
      <x:c r="D265" s="52"/>
      <x:c r="E265" s="52"/>
      <x:c r="F265" s="20"/>
      <x:c r="G265" s="20"/>
      <x:c r="H265" s="20"/>
      <x:c r="I265" s="20"/>
      <x:c r="J265" s="20"/>
      <x:c r="K265" s="20"/>
      <x:c r="L265" s="20"/>
      <x:c r="M265" s="52" t="n">
        <x:f>IF(F265="Paga",IF(E265="",D265,E265),0)</x:f>
        <x:v>0</x:v>
      </x:c>
    </x:row>
    <x:row r="266">
      <x:c r="A266" s="50"/>
      <x:c r="B266" s="20"/>
      <x:c r="C266" s="20"/>
      <x:c r="D266" s="52"/>
      <x:c r="E266" s="52"/>
      <x:c r="F266" s="20"/>
      <x:c r="G266" s="20"/>
      <x:c r="H266" s="20"/>
      <x:c r="I266" s="20"/>
      <x:c r="J266" s="20"/>
      <x:c r="K266" s="20"/>
      <x:c r="L266" s="20"/>
      <x:c r="M266" s="52" t="n">
        <x:f>IF(F266="Paga",IF(E266="",D266,E266),0)</x:f>
        <x:v>0</x:v>
      </x:c>
    </x:row>
    <x:row r="267">
      <x:c r="A267" s="50"/>
      <x:c r="B267" s="20"/>
      <x:c r="C267" s="20"/>
      <x:c r="D267" s="52"/>
      <x:c r="E267" s="52"/>
      <x:c r="F267" s="20"/>
      <x:c r="G267" s="20"/>
      <x:c r="H267" s="20"/>
      <x:c r="I267" s="20"/>
      <x:c r="J267" s="20"/>
      <x:c r="K267" s="20"/>
      <x:c r="L267" s="20"/>
      <x:c r="M267" s="52" t="n">
        <x:f>IF(F267="Paga",IF(E267="",D267,E267),0)</x:f>
        <x:v>0</x:v>
      </x:c>
    </x:row>
    <x:row r="268">
      <x:c r="A268" s="50"/>
      <x:c r="B268" s="20"/>
      <x:c r="C268" s="20"/>
      <x:c r="D268" s="52"/>
      <x:c r="E268" s="52"/>
      <x:c r="F268" s="20"/>
      <x:c r="G268" s="20"/>
      <x:c r="H268" s="20"/>
      <x:c r="I268" s="20"/>
      <x:c r="J268" s="20"/>
      <x:c r="K268" s="20"/>
      <x:c r="L268" s="20"/>
      <x:c r="M268" s="52" t="n">
        <x:f>IF(F268="Paga",IF(E268="",D268,E268),0)</x:f>
        <x:v>0</x:v>
      </x:c>
    </x:row>
    <x:row r="269">
      <x:c r="A269" s="50"/>
      <x:c r="B269" s="20"/>
      <x:c r="C269" s="20"/>
      <x:c r="D269" s="52"/>
      <x:c r="E269" s="52"/>
      <x:c r="F269" s="20"/>
      <x:c r="G269" s="20"/>
      <x:c r="H269" s="20"/>
      <x:c r="I269" s="20"/>
      <x:c r="J269" s="20"/>
      <x:c r="K269" s="20"/>
      <x:c r="L269" s="20"/>
      <x:c r="M269" s="52" t="n">
        <x:f>IF(F269="Paga",IF(E269="",D269,E269),0)</x:f>
        <x:v>0</x:v>
      </x:c>
    </x:row>
    <x:row r="270">
      <x:c r="A270" s="50"/>
      <x:c r="B270" s="20"/>
      <x:c r="C270" s="20"/>
      <x:c r="D270" s="52"/>
      <x:c r="E270" s="52"/>
      <x:c r="F270" s="20"/>
      <x:c r="G270" s="20"/>
      <x:c r="H270" s="20"/>
      <x:c r="I270" s="20"/>
      <x:c r="J270" s="20"/>
      <x:c r="K270" s="20"/>
      <x:c r="L270" s="20"/>
      <x:c r="M270" s="52" t="n">
        <x:f>IF(F270="Paga",IF(E270="",D270,E270),0)</x:f>
        <x:v>0</x:v>
      </x:c>
    </x:row>
    <x:row r="271">
      <x:c r="A271" s="50"/>
      <x:c r="B271" s="20"/>
      <x:c r="C271" s="20"/>
      <x:c r="D271" s="52"/>
      <x:c r="E271" s="52"/>
      <x:c r="F271" s="20"/>
      <x:c r="G271" s="20"/>
      <x:c r="H271" s="20"/>
      <x:c r="I271" s="20"/>
      <x:c r="J271" s="20"/>
      <x:c r="K271" s="20"/>
      <x:c r="L271" s="20"/>
      <x:c r="M271" s="52" t="n">
        <x:f>IF(F271="Paga",IF(E271="",D271,E271),0)</x:f>
        <x:v>0</x:v>
      </x:c>
    </x:row>
    <x:row r="272">
      <x:c r="A272" s="50"/>
      <x:c r="B272" s="20"/>
      <x:c r="C272" s="20"/>
      <x:c r="D272" s="52"/>
      <x:c r="E272" s="52"/>
      <x:c r="F272" s="20"/>
      <x:c r="G272" s="20"/>
      <x:c r="H272" s="20"/>
      <x:c r="I272" s="20"/>
      <x:c r="J272" s="20"/>
      <x:c r="K272" s="20"/>
      <x:c r="L272" s="20"/>
      <x:c r="M272" s="52" t="n">
        <x:f>IF(F272="Paga",IF(E272="",D272,E272),0)</x:f>
        <x:v>0</x:v>
      </x:c>
    </x:row>
    <x:row r="273">
      <x:c r="A273" s="50"/>
      <x:c r="B273" s="20"/>
      <x:c r="C273" s="20"/>
      <x:c r="D273" s="52"/>
      <x:c r="E273" s="52"/>
      <x:c r="F273" s="20"/>
      <x:c r="G273" s="20"/>
      <x:c r="H273" s="20"/>
      <x:c r="I273" s="20"/>
      <x:c r="J273" s="20"/>
      <x:c r="K273" s="20"/>
      <x:c r="L273" s="20"/>
      <x:c r="M273" s="52" t="n">
        <x:f>IF(F273="Paga",IF(E273="",D273,E273),0)</x:f>
        <x:v>0</x:v>
      </x:c>
    </x:row>
    <x:row r="274">
      <x:c r="A274" s="50"/>
      <x:c r="B274" s="20"/>
      <x:c r="C274" s="20"/>
      <x:c r="D274" s="52"/>
      <x:c r="E274" s="52"/>
      <x:c r="F274" s="20"/>
      <x:c r="G274" s="20"/>
      <x:c r="H274" s="20"/>
      <x:c r="I274" s="20"/>
      <x:c r="J274" s="20"/>
      <x:c r="K274" s="20"/>
      <x:c r="L274" s="20"/>
      <x:c r="M274" s="52" t="n">
        <x:f>IF(F274="Paga",IF(E274="",D274,E274),0)</x:f>
        <x:v>0</x:v>
      </x:c>
    </x:row>
    <x:row r="275">
      <x:c r="A275" s="50"/>
      <x:c r="B275" s="20"/>
      <x:c r="C275" s="20"/>
      <x:c r="D275" s="52"/>
      <x:c r="E275" s="52"/>
      <x:c r="F275" s="20"/>
      <x:c r="G275" s="20"/>
      <x:c r="H275" s="20"/>
      <x:c r="I275" s="20"/>
      <x:c r="J275" s="20"/>
      <x:c r="K275" s="20"/>
      <x:c r="L275" s="20"/>
      <x:c r="M275" s="52" t="n">
        <x:f>IF(F275="Paga",IF(E275="",D275,E275),0)</x:f>
        <x:v>0</x:v>
      </x:c>
    </x:row>
    <x:row r="276">
      <x:c r="A276" s="50"/>
      <x:c r="B276" s="20"/>
      <x:c r="C276" s="20"/>
      <x:c r="D276" s="52"/>
      <x:c r="E276" s="52"/>
      <x:c r="F276" s="20"/>
      <x:c r="G276" s="20"/>
      <x:c r="H276" s="20"/>
      <x:c r="I276" s="20"/>
      <x:c r="J276" s="20"/>
      <x:c r="K276" s="20"/>
      <x:c r="L276" s="20"/>
      <x:c r="M276" s="52" t="n">
        <x:f>IF(F276="Paga",IF(E276="",D276,E276),0)</x:f>
        <x:v>0</x:v>
      </x:c>
    </x:row>
    <x:row r="277">
      <x:c r="A277" s="50"/>
      <x:c r="B277" s="20"/>
      <x:c r="C277" s="20"/>
      <x:c r="D277" s="52"/>
      <x:c r="E277" s="52"/>
      <x:c r="F277" s="20"/>
      <x:c r="G277" s="20"/>
      <x:c r="H277" s="20"/>
      <x:c r="I277" s="20"/>
      <x:c r="J277" s="20"/>
      <x:c r="K277" s="20"/>
      <x:c r="L277" s="20"/>
      <x:c r="M277" s="52" t="n">
        <x:f>IF(F277="Paga",IF(E277="",D277,E277),0)</x:f>
        <x:v>0</x:v>
      </x:c>
    </x:row>
    <x:row r="278">
      <x:c r="A278" s="50"/>
      <x:c r="B278" s="20"/>
      <x:c r="C278" s="20"/>
      <x:c r="D278" s="52"/>
      <x:c r="E278" s="52"/>
      <x:c r="F278" s="20"/>
      <x:c r="G278" s="20"/>
      <x:c r="H278" s="20"/>
      <x:c r="I278" s="20"/>
      <x:c r="J278" s="20"/>
      <x:c r="K278" s="20"/>
      <x:c r="L278" s="20"/>
      <x:c r="M278" s="52" t="n">
        <x:f>IF(F278="Paga",IF(E278="",D278,E278),0)</x:f>
        <x:v>0</x:v>
      </x:c>
    </x:row>
    <x:row r="279">
      <x:c r="A279" s="50"/>
      <x:c r="B279" s="20"/>
      <x:c r="C279" s="20"/>
      <x:c r="D279" s="52"/>
      <x:c r="E279" s="52"/>
      <x:c r="F279" s="20"/>
      <x:c r="G279" s="20"/>
      <x:c r="H279" s="20"/>
      <x:c r="I279" s="20"/>
      <x:c r="J279" s="20"/>
      <x:c r="K279" s="20"/>
      <x:c r="L279" s="20"/>
      <x:c r="M279" s="52" t="n">
        <x:f>IF(F279="Paga",IF(E279="",D279,E279),0)</x:f>
        <x:v>0</x:v>
      </x:c>
    </x:row>
    <x:row r="280">
      <x:c r="A280" s="50"/>
      <x:c r="B280" s="20"/>
      <x:c r="C280" s="20"/>
      <x:c r="D280" s="52"/>
      <x:c r="E280" s="52"/>
      <x:c r="F280" s="20"/>
      <x:c r="G280" s="20"/>
      <x:c r="H280" s="20"/>
      <x:c r="I280" s="20"/>
      <x:c r="J280" s="20"/>
      <x:c r="K280" s="20"/>
      <x:c r="L280" s="20"/>
      <x:c r="M280" s="52" t="n">
        <x:f>IF(F280="Paga",IF(E280="",D280,E280),0)</x:f>
        <x:v>0</x:v>
      </x:c>
    </x:row>
    <x:row r="281">
      <x:c r="A281" s="50"/>
      <x:c r="B281" s="20"/>
      <x:c r="C281" s="20"/>
      <x:c r="D281" s="52"/>
      <x:c r="E281" s="52"/>
      <x:c r="F281" s="20"/>
      <x:c r="G281" s="20"/>
      <x:c r="H281" s="20"/>
      <x:c r="I281" s="20"/>
      <x:c r="J281" s="20"/>
      <x:c r="K281" s="20"/>
      <x:c r="L281" s="20"/>
      <x:c r="M281" s="52" t="n">
        <x:f>IF(F281="Paga",IF(E281="",D281,E281),0)</x:f>
        <x:v>0</x:v>
      </x:c>
    </x:row>
    <x:row r="282">
      <x:c r="A282" s="50"/>
      <x:c r="B282" s="20"/>
      <x:c r="C282" s="20"/>
      <x:c r="D282" s="52"/>
      <x:c r="E282" s="52"/>
      <x:c r="F282" s="20"/>
      <x:c r="G282" s="20"/>
      <x:c r="H282" s="20"/>
      <x:c r="I282" s="20"/>
      <x:c r="J282" s="20"/>
      <x:c r="K282" s="20"/>
      <x:c r="L282" s="20"/>
      <x:c r="M282" s="52" t="n">
        <x:f>IF(F282="Paga",IF(E282="",D282,E282),0)</x:f>
        <x:v>0</x:v>
      </x:c>
    </x:row>
    <x:row r="283">
      <x:c r="A283" s="50"/>
      <x:c r="B283" s="20"/>
      <x:c r="C283" s="20"/>
      <x:c r="D283" s="52"/>
      <x:c r="E283" s="52"/>
      <x:c r="F283" s="20"/>
      <x:c r="G283" s="20"/>
      <x:c r="H283" s="20"/>
      <x:c r="I283" s="20"/>
      <x:c r="J283" s="20"/>
      <x:c r="K283" s="20"/>
      <x:c r="L283" s="20"/>
      <x:c r="M283" s="52" t="n">
        <x:f>IF(F283="Paga",IF(E283="",D283,E283),0)</x:f>
        <x:v>0</x:v>
      </x:c>
    </x:row>
    <x:row r="284">
      <x:c r="A284" s="50"/>
      <x:c r="B284" s="20"/>
      <x:c r="C284" s="20"/>
      <x:c r="D284" s="52"/>
      <x:c r="E284" s="52"/>
      <x:c r="F284" s="20"/>
      <x:c r="G284" s="20"/>
      <x:c r="H284" s="20"/>
      <x:c r="I284" s="20"/>
      <x:c r="J284" s="20"/>
      <x:c r="K284" s="20"/>
      <x:c r="L284" s="20"/>
      <x:c r="M284" s="52" t="n">
        <x:f>IF(F284="Paga",IF(E284="",D284,E284),0)</x:f>
        <x:v>0</x:v>
      </x:c>
    </x:row>
    <x:row r="285">
      <x:c r="A285" s="50"/>
      <x:c r="B285" s="20"/>
      <x:c r="C285" s="20"/>
      <x:c r="D285" s="52"/>
      <x:c r="E285" s="52"/>
      <x:c r="F285" s="20"/>
      <x:c r="G285" s="20"/>
      <x:c r="H285" s="20"/>
      <x:c r="I285" s="20"/>
      <x:c r="J285" s="20"/>
      <x:c r="K285" s="20"/>
      <x:c r="L285" s="20"/>
      <x:c r="M285" s="52" t="n">
        <x:f>IF(F285="Paga",IF(E285="",D285,E285),0)</x:f>
        <x:v>0</x:v>
      </x:c>
    </x:row>
    <x:row r="286">
      <x:c r="A286" s="50"/>
      <x:c r="B286" s="20"/>
      <x:c r="C286" s="20"/>
      <x:c r="D286" s="52"/>
      <x:c r="E286" s="52"/>
      <x:c r="F286" s="20"/>
      <x:c r="G286" s="20"/>
      <x:c r="H286" s="20"/>
      <x:c r="I286" s="20"/>
      <x:c r="J286" s="20"/>
      <x:c r="K286" s="20"/>
      <x:c r="L286" s="20"/>
      <x:c r="M286" s="52" t="n">
        <x:f>IF(F286="Paga",IF(E286="",D286,E286),0)</x:f>
        <x:v>0</x:v>
      </x:c>
    </x:row>
    <x:row r="287">
      <x:c r="A287" s="50"/>
      <x:c r="B287" s="20"/>
      <x:c r="C287" s="20"/>
      <x:c r="D287" s="52"/>
      <x:c r="E287" s="52"/>
      <x:c r="F287" s="20"/>
      <x:c r="G287" s="20"/>
      <x:c r="H287" s="20"/>
      <x:c r="I287" s="20"/>
      <x:c r="J287" s="20"/>
      <x:c r="K287" s="20"/>
      <x:c r="L287" s="20"/>
      <x:c r="M287" s="52" t="n">
        <x:f>IF(F287="Paga",IF(E287="",D287,E287),0)</x:f>
        <x:v>0</x:v>
      </x:c>
    </x:row>
    <x:row r="288">
      <x:c r="A288" s="50"/>
      <x:c r="B288" s="20"/>
      <x:c r="C288" s="20"/>
      <x:c r="D288" s="52"/>
      <x:c r="E288" s="52"/>
      <x:c r="F288" s="20"/>
      <x:c r="G288" s="20"/>
      <x:c r="H288" s="20"/>
      <x:c r="I288" s="20"/>
      <x:c r="J288" s="20"/>
      <x:c r="K288" s="20"/>
      <x:c r="L288" s="20"/>
      <x:c r="M288" s="52" t="n">
        <x:f>IF(F288="Paga",IF(E288="",D288,E288),0)</x:f>
        <x:v>0</x:v>
      </x:c>
    </x:row>
    <x:row r="289">
      <x:c r="A289" s="50"/>
      <x:c r="B289" s="20"/>
      <x:c r="C289" s="20"/>
      <x:c r="D289" s="52"/>
      <x:c r="E289" s="52"/>
      <x:c r="F289" s="20"/>
      <x:c r="G289" s="20"/>
      <x:c r="H289" s="20"/>
      <x:c r="I289" s="20"/>
      <x:c r="J289" s="20"/>
      <x:c r="K289" s="20"/>
      <x:c r="L289" s="20"/>
      <x:c r="M289" s="52" t="n">
        <x:f>IF(F289="Paga",IF(E289="",D289,E289),0)</x:f>
        <x:v>0</x:v>
      </x:c>
    </x:row>
    <x:row r="290">
      <x:c r="A290" s="50"/>
      <x:c r="B290" s="20"/>
      <x:c r="C290" s="20"/>
      <x:c r="D290" s="52"/>
      <x:c r="E290" s="52"/>
      <x:c r="F290" s="20"/>
      <x:c r="G290" s="20"/>
      <x:c r="H290" s="20"/>
      <x:c r="I290" s="20"/>
      <x:c r="J290" s="20"/>
      <x:c r="K290" s="20"/>
      <x:c r="L290" s="20"/>
      <x:c r="M290" s="52" t="n">
        <x:f>IF(F290="Paga",IF(E290="",D290,E290),0)</x:f>
        <x:v>0</x:v>
      </x:c>
    </x:row>
    <x:row r="291">
      <x:c r="A291" s="50"/>
      <x:c r="B291" s="20"/>
      <x:c r="C291" s="20"/>
      <x:c r="D291" s="52"/>
      <x:c r="E291" s="52"/>
      <x:c r="F291" s="20"/>
      <x:c r="G291" s="20"/>
      <x:c r="H291" s="20"/>
      <x:c r="I291" s="20"/>
      <x:c r="J291" s="20"/>
      <x:c r="K291" s="20"/>
      <x:c r="L291" s="20"/>
      <x:c r="M291" s="52" t="n">
        <x:f>IF(F291="Paga",IF(E291="",D291,E291),0)</x:f>
        <x:v>0</x:v>
      </x:c>
    </x:row>
    <x:row r="292">
      <x:c r="A292" s="50"/>
      <x:c r="B292" s="20"/>
      <x:c r="C292" s="20"/>
      <x:c r="D292" s="52"/>
      <x:c r="E292" s="52"/>
      <x:c r="F292" s="20"/>
      <x:c r="G292" s="20"/>
      <x:c r="H292" s="20"/>
      <x:c r="I292" s="20"/>
      <x:c r="J292" s="20"/>
      <x:c r="K292" s="20"/>
      <x:c r="L292" s="20"/>
      <x:c r="M292" s="52" t="n">
        <x:f>IF(F292="Paga",IF(E292="",D292,E292),0)</x:f>
        <x:v>0</x:v>
      </x:c>
    </x:row>
    <x:row r="293">
      <x:c r="A293" s="50"/>
      <x:c r="B293" s="20"/>
      <x:c r="C293" s="20"/>
      <x:c r="D293" s="52"/>
      <x:c r="E293" s="52"/>
      <x:c r="F293" s="20"/>
      <x:c r="G293" s="20"/>
      <x:c r="H293" s="20"/>
      <x:c r="I293" s="20"/>
      <x:c r="J293" s="20"/>
      <x:c r="K293" s="20"/>
      <x:c r="L293" s="20"/>
      <x:c r="M293" s="52" t="n">
        <x:f>IF(F293="Paga",IF(E293="",D293,E293),0)</x:f>
        <x:v>0</x:v>
      </x:c>
    </x:row>
    <x:row r="294">
      <x:c r="A294" s="50"/>
      <x:c r="B294" s="20"/>
      <x:c r="C294" s="20"/>
      <x:c r="D294" s="52"/>
      <x:c r="E294" s="52"/>
      <x:c r="F294" s="20"/>
      <x:c r="G294" s="20"/>
      <x:c r="H294" s="20"/>
      <x:c r="I294" s="20"/>
      <x:c r="J294" s="20"/>
      <x:c r="K294" s="20"/>
      <x:c r="L294" s="20"/>
      <x:c r="M294" s="52" t="n">
        <x:f>IF(F294="Paga",IF(E294="",D294,E294),0)</x:f>
        <x:v>0</x:v>
      </x:c>
    </x:row>
    <x:row r="295">
      <x:c r="A295" s="50"/>
      <x:c r="B295" s="20"/>
      <x:c r="C295" s="20"/>
      <x:c r="D295" s="52"/>
      <x:c r="E295" s="52"/>
      <x:c r="F295" s="20"/>
      <x:c r="G295" s="20"/>
      <x:c r="H295" s="20"/>
      <x:c r="I295" s="20"/>
      <x:c r="J295" s="20"/>
      <x:c r="K295" s="20"/>
      <x:c r="L295" s="20"/>
      <x:c r="M295" s="52" t="n">
        <x:f>IF(F295="Paga",IF(E295="",D295,E295),0)</x:f>
        <x:v>0</x:v>
      </x:c>
    </x:row>
    <x:row r="296">
      <x:c r="A296" s="50"/>
      <x:c r="B296" s="20"/>
      <x:c r="C296" s="20"/>
      <x:c r="D296" s="52"/>
      <x:c r="E296" s="52"/>
      <x:c r="F296" s="20"/>
      <x:c r="G296" s="20"/>
      <x:c r="H296" s="20"/>
      <x:c r="I296" s="20"/>
      <x:c r="J296" s="20"/>
      <x:c r="K296" s="20"/>
      <x:c r="L296" s="20"/>
      <x:c r="M296" s="52" t="n">
        <x:f>IF(F296="Paga",IF(E296="",D296,E296),0)</x:f>
        <x:v>0</x:v>
      </x:c>
    </x:row>
    <x:row r="297">
      <x:c r="A297" s="50"/>
      <x:c r="B297" s="20"/>
      <x:c r="C297" s="20"/>
      <x:c r="D297" s="52"/>
      <x:c r="E297" s="52"/>
      <x:c r="F297" s="20"/>
      <x:c r="G297" s="20"/>
      <x:c r="H297" s="20"/>
      <x:c r="I297" s="20"/>
      <x:c r="J297" s="20"/>
      <x:c r="K297" s="20"/>
      <x:c r="L297" s="20"/>
      <x:c r="M297" s="52" t="n">
        <x:f>IF(F297="Paga",IF(E297="",D297,E297),0)</x:f>
        <x:v>0</x:v>
      </x:c>
    </x:row>
    <x:row r="298">
      <x:c r="A298" s="50"/>
      <x:c r="B298" s="20"/>
      <x:c r="C298" s="20"/>
      <x:c r="D298" s="52"/>
      <x:c r="E298" s="52"/>
      <x:c r="F298" s="20"/>
      <x:c r="G298" s="20"/>
      <x:c r="H298" s="20"/>
      <x:c r="I298" s="20"/>
      <x:c r="J298" s="20"/>
      <x:c r="K298" s="20"/>
      <x:c r="L298" s="20"/>
      <x:c r="M298" s="52" t="n">
        <x:f>IF(F298="Paga",IF(E298="",D298,E298),0)</x:f>
        <x:v>0</x:v>
      </x:c>
    </x:row>
    <x:row r="299">
      <x:c r="A299" s="50"/>
      <x:c r="B299" s="20"/>
      <x:c r="C299" s="20"/>
      <x:c r="D299" s="52"/>
      <x:c r="E299" s="52"/>
      <x:c r="F299" s="20"/>
      <x:c r="G299" s="20"/>
      <x:c r="H299" s="20"/>
      <x:c r="I299" s="20"/>
      <x:c r="J299" s="20"/>
      <x:c r="K299" s="20"/>
      <x:c r="L299" s="20"/>
      <x:c r="M299" s="52" t="n">
        <x:f>IF(F299="Paga",IF(E299="",D299,E299),0)</x:f>
        <x:v>0</x:v>
      </x:c>
    </x:row>
    <x:row r="300">
      <x:c r="A300" s="50"/>
      <x:c r="B300" s="20"/>
      <x:c r="C300" s="20"/>
      <x:c r="D300" s="52"/>
      <x:c r="E300" s="52"/>
      <x:c r="F300" s="20"/>
      <x:c r="G300" s="20"/>
      <x:c r="H300" s="20"/>
      <x:c r="I300" s="20"/>
      <x:c r="J300" s="20"/>
      <x:c r="K300" s="20"/>
      <x:c r="L300" s="20"/>
      <x:c r="M300" s="52" t="n">
        <x:f>IF(F300="Paga",IF(E300="",D300,E300),0)</x:f>
        <x:v>0</x:v>
      </x:c>
    </x:row>
    <x:row r="301">
      <x:c r="A301" s="50"/>
      <x:c r="B301" s="20"/>
      <x:c r="C301" s="20"/>
      <x:c r="D301" s="52"/>
      <x:c r="E301" s="52"/>
      <x:c r="F301" s="20"/>
      <x:c r="G301" s="20"/>
      <x:c r="H301" s="20"/>
      <x:c r="I301" s="20"/>
      <x:c r="J301" s="20"/>
      <x:c r="K301" s="20"/>
      <x:c r="L301" s="20"/>
      <x:c r="M301" s="52" t="n">
        <x:f>IF(F301="Paga",IF(E301="",D301,E301),0)</x:f>
        <x:v>0</x:v>
      </x:c>
    </x:row>
  </x:sheetData>
  <x:conditionalFormatting sqref="F2:F301">
    <x:cfRule type="expression" dxfId="0" priority="1">
      <x:formula>AND($F2="Pendente",$A2&lt;TODAY())</x:formula>
    </x:cfRule>
    <x:cfRule type="expression" dxfId="1" priority="2">
      <x:formula>$F2="Paga"</x:formula>
    </x:cfRule>
  </x:conditionalFormatting>
  <x:dataValidations count="4">
    <x:dataValidation type="list" sqref="C2:C301">
      <x:formula1>'Configurações'!$A$12:$A$23</x:formula1>
    </x:dataValidation>
    <x:dataValidation type="list" sqref="F2:F301">
      <x:formula1>"Pendente,Paga"</x:formula1>
    </x:dataValidation>
    <x:dataValidation type="list" sqref="G2:G301">
      <x:formula1>"Mensal,Única"</x:formula1>
    </x:dataValidation>
    <x:dataValidation type="list" sqref="I2:I301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7cee9414d640c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8" hidden="0" customWidth="1"/>
    <x:col min="4" max="4" width="22" hidden="0" customWidth="1"/>
    <x:col min="5" max="5" width="17" hidden="0" customWidth="1"/>
    <x:col min="6" max="6" width="15" hidden="0" customWidth="1"/>
    <x:col min="7" max="7" width="20" hidden="0" customWidth="1"/>
  </x:cols>
  <x:sheetData>
    <x:row r="1" ht="29" customHeight="1">
      <x:c r="A1" s="78" t="str">
        <x:v>ORÇAMENTO POR CATEGORIA • MÊS SELECIONADO NO PAINEL</x:v>
      </x:c>
      <x:c r="B1" s="78"/>
      <x:c r="C1" s="78"/>
      <x:c r="D1" s="78"/>
      <x:c r="E1" s="78"/>
      <x:c r="F1" s="78"/>
      <x:c r="G1" s="78"/>
    </x:row>
    <x:row r="3" ht="30" customHeight="1">
      <x:c r="A3" s="80" t="str">
        <x:v>Categoria</x:v>
      </x:c>
      <x:c r="B3" s="80" t="str">
        <x:v>Limite mensal (R$)</x:v>
      </x:c>
      <x:c r="C3" s="80" t="str">
        <x:v>Gasto pago (R$)</x:v>
      </x:c>
      <x:c r="D3" s="80" t="str">
        <x:v>Despesa planejada (R$)</x:v>
      </x:c>
      <x:c r="E3" s="80" t="str">
        <x:v>Restante (R$)</x:v>
      </x:c>
      <x:c r="F3" s="80" t="str">
        <x:v>Uso do limite</x:v>
      </x:c>
      <x:c r="G3" s="80" t="str">
        <x:v>Situação</x:v>
      </x:c>
    </x:row>
    <x:row r="4">
      <x:c r="A4" s="40" t="str">
        <x:v>Alimentação</x:v>
      </x:c>
      <x:c r="B4" s="86" t="n">
        <x:v>450</x:v>
      </x:c>
      <x:c r="C4" s="82" t="n">
        <x:f>IF(A4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4)+SUMIFS('Contas recorrentes'!$M$2:$M$301,'Contas recorrentes'!$F$2:$F$301,"Paga",'Contas recorrentes'!$A$2:$A$301,"&gt;="&amp;'Painel'!$B$3,'Contas recorrentes'!$A$2:$A$301,"&lt;"&amp;DATE(YEAR('Painel'!$B$3),MONTH('Painel'!$B$3)+1,1),'Contas recorrentes'!$C$2:$C$301,$A4),2))</x:f>
        <x:v>245</x:v>
      </x:c>
      <x:c r="D4" s="82" t="n">
        <x:f>IF(A4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4),2))</x:f>
        <x:v>0</x:v>
      </x:c>
      <x:c r="E4" s="82" t="n">
        <x:f>IF(A4="","",ROUND(B4-C4,2))</x:f>
        <x:v>205</x:v>
      </x:c>
      <x:c r="F4" s="84" t="n">
        <x:f>IF(A4="","",IF(B4&gt;0,C4/B4,0))</x:f>
        <x:v>0.5444444444444444</x:v>
      </x:c>
      <x:c r="G4" t="str">
        <x:f>IF(A4="","",IF(B4=0,"Sem limite",IF(C4&gt;=B4,"Limite excedido",IF(F4&gt;='Configurações'!$B$8/100,"Alerta alto",IF(F4&gt;='Configurações'!$B$7/100,"Primeiro alerta","Dentro do limite")))))</x:f>
        <x:v>Dentro do limite</x:v>
      </x:c>
    </x:row>
    <x:row r="5">
      <x:c r="A5" s="40" t="str">
        <x:v>Transporte</x:v>
      </x:c>
      <x:c r="B5" s="86" t="n">
        <x:v>200</x:v>
      </x:c>
      <x:c r="C5" s="82" t="n">
        <x:f>IF(A5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5)+SUMIFS('Contas recorrentes'!$M$2:$M$301,'Contas recorrentes'!$F$2:$F$301,"Paga",'Contas recorrentes'!$A$2:$A$301,"&gt;="&amp;'Painel'!$B$3,'Contas recorrentes'!$A$2:$A$301,"&lt;"&amp;DATE(YEAR('Painel'!$B$3),MONTH('Painel'!$B$3)+1,1),'Contas recorrentes'!$C$2:$C$301,$A5),2))</x:f>
        <x:v>65</x:v>
      </x:c>
      <x:c r="D5" s="82" t="n">
        <x:f>IF(A5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5),2))</x:f>
        <x:v>0</x:v>
      </x:c>
      <x:c r="E5" s="82" t="n">
        <x:f>IF(A5="","",ROUND(B5-C5,2))</x:f>
        <x:v>135</x:v>
      </x:c>
      <x:c r="F5" s="84" t="n">
        <x:f>IF(A5="","",IF(B5&gt;0,C5/B5,0))</x:f>
        <x:v>0.325</x:v>
      </x:c>
      <x:c r="G5" t="str">
        <x:f>IF(A5="","",IF(B5=0,"Sem limite",IF(C5&gt;=B5,"Limite excedido",IF(F5&gt;='Configurações'!$B$8/100,"Alerta alto",IF(F5&gt;='Configurações'!$B$7/100,"Primeiro alerta","Dentro do limite")))))</x:f>
        <x:v>Dentro do limite</x:v>
      </x:c>
    </x:row>
    <x:row r="6">
      <x:c r="A6" s="40" t="str">
        <x:v>Lazer</x:v>
      </x:c>
      <x:c r="B6" s="86" t="n">
        <x:v>150</x:v>
      </x:c>
      <x:c r="C6" s="82" t="n">
        <x:f>IF(A6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6)+SUMIFS('Contas recorrentes'!$M$2:$M$301,'Contas recorrentes'!$F$2:$F$301,"Paga",'Contas recorrentes'!$A$2:$A$301,"&gt;="&amp;'Painel'!$B$3,'Contas recorrentes'!$A$2:$A$301,"&lt;"&amp;DATE(YEAR('Painel'!$B$3),MONTH('Painel'!$B$3)+1,1),'Contas recorrentes'!$C$2:$C$301,$A6),2))</x:f>
        <x:v>45</x:v>
      </x:c>
      <x:c r="D6" s="82" t="n">
        <x:f>IF(A6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6),2))</x:f>
        <x:v>0</x:v>
      </x:c>
      <x:c r="E6" s="82" t="n">
        <x:f>IF(A6="","",ROUND(B6-C6,2))</x:f>
        <x:v>105</x:v>
      </x:c>
      <x:c r="F6" s="84" t="n">
        <x:f>IF(A6="","",IF(B6&gt;0,C6/B6,0))</x:f>
        <x:v>0.3</x:v>
      </x:c>
      <x:c r="G6" t="str">
        <x:f>IF(A6="","",IF(B6=0,"Sem limite",IF(C6&gt;=B6,"Limite excedido",IF(F6&gt;='Configurações'!$B$8/100,"Alerta alto",IF(F6&gt;='Configurações'!$B$7/100,"Primeiro alerta","Dentro do limite")))))</x:f>
        <x:v>Dentro do limite</x:v>
      </x:c>
    </x:row>
    <x:row r="7">
      <x:c r="A7" s="40" t="str">
        <x:v>Compras</x:v>
      </x:c>
      <x:c r="B7" s="86" t="n">
        <x:v>250</x:v>
      </x:c>
      <x:c r="C7" s="82" t="n">
        <x:f>IF(A7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7)+SUMIFS('Contas recorrentes'!$M$2:$M$301,'Contas recorrentes'!$F$2:$F$301,"Paga",'Contas recorrentes'!$A$2:$A$301,"&gt;="&amp;'Painel'!$B$3,'Contas recorrentes'!$A$2:$A$301,"&lt;"&amp;DATE(YEAR('Painel'!$B$3),MONTH('Painel'!$B$3)+1,1),'Contas recorrentes'!$C$2:$C$301,$A7),2))</x:f>
        <x:v>0</x:v>
      </x:c>
      <x:c r="D7" s="82" t="n">
        <x:f>IF(A7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7),2))</x:f>
        <x:v>0</x:v>
      </x:c>
      <x:c r="E7" s="82" t="n">
        <x:f>IF(A7="","",ROUND(B7-C7,2))</x:f>
        <x:v>250</x:v>
      </x:c>
      <x:c r="F7" s="84" t="n">
        <x:f>IF(A7="","",IF(B7&gt;0,C7/B7,0))</x:f>
        <x:v>0</x:v>
      </x:c>
      <x:c r="G7" t="str">
        <x:f>IF(A7="","",IF(B7=0,"Sem limite",IF(C7&gt;=B7,"Limite excedido",IF(F7&gt;='Configurações'!$B$8/100,"Alerta alto",IF(F7&gt;='Configurações'!$B$7/100,"Primeiro alerta","Dentro do limite")))))</x:f>
        <x:v>Dentro do limite</x:v>
      </x:c>
    </x:row>
    <x:row r="8">
      <x:c r="A8" s="40" t="str">
        <x:v>Moradia</x:v>
      </x:c>
      <x:c r="B8" s="86" t="n">
        <x:v>0</x:v>
      </x:c>
      <x:c r="C8" s="82" t="n">
        <x:f>IF(A8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8)+SUMIFS('Contas recorrentes'!$M$2:$M$301,'Contas recorrentes'!$F$2:$F$301,"Paga",'Contas recorrentes'!$A$2:$A$301,"&gt;="&amp;'Painel'!$B$3,'Contas recorrentes'!$A$2:$A$301,"&lt;"&amp;DATE(YEAR('Painel'!$B$3),MONTH('Painel'!$B$3)+1,1),'Contas recorrentes'!$C$2:$C$301,$A8),2))</x:f>
        <x:v>850</x:v>
      </x:c>
      <x:c r="D8" s="82" t="n">
        <x:f>IF(A8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8),2))</x:f>
        <x:v>0</x:v>
      </x:c>
      <x:c r="E8" s="82" t="n">
        <x:f>IF(A8="","",ROUND(B8-C8,2))</x:f>
        <x:v>-850</x:v>
      </x:c>
      <x:c r="F8" s="84" t="n">
        <x:f>IF(A8="","",IF(B8&gt;0,C8/B8,0))</x:f>
        <x:v>0</x:v>
      </x:c>
      <x:c r="G8" t="str">
        <x:f>IF(A8="","",IF(B8=0,"Sem limite",IF(C8&gt;=B8,"Limite excedido",IF(F8&gt;='Configurações'!$B$8/100,"Alerta alto",IF(F8&gt;='Configurações'!$B$7/100,"Primeiro alerta","Dentro do limite")))))</x:f>
        <x:v>Sem limite</x:v>
      </x:c>
    </x:row>
    <x:row r="9">
      <x:c r="A9" s="40" t="str">
        <x:v>Saúde</x:v>
      </x:c>
      <x:c r="B9" s="86" t="n">
        <x:v>100</x:v>
      </x:c>
      <x:c r="C9" s="82" t="n">
        <x:f>IF(A9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9)+SUMIFS('Contas recorrentes'!$M$2:$M$301,'Contas recorrentes'!$F$2:$F$301,"Paga",'Contas recorrentes'!$A$2:$A$301,"&gt;="&amp;'Painel'!$B$3,'Contas recorrentes'!$A$2:$A$301,"&lt;"&amp;DATE(YEAR('Painel'!$B$3),MONTH('Painel'!$B$3)+1,1),'Contas recorrentes'!$C$2:$C$301,$A9),2))</x:f>
        <x:v>0</x:v>
      </x:c>
      <x:c r="D9" s="82" t="n">
        <x:f>IF(A9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9),2))</x:f>
        <x:v>0</x:v>
      </x:c>
      <x:c r="E9" s="82" t="n">
        <x:f>IF(A9="","",ROUND(B9-C9,2))</x:f>
        <x:v>100</x:v>
      </x:c>
      <x:c r="F9" s="84" t="n">
        <x:f>IF(A9="","",IF(B9&gt;0,C9/B9,0))</x:f>
        <x:v>0</x:v>
      </x:c>
      <x:c r="G9" t="str">
        <x:f>IF(A9="","",IF(B9=0,"Sem limite",IF(C9&gt;=B9,"Limite excedido",IF(F9&gt;='Configurações'!$B$8/100,"Alerta alto",IF(F9&gt;='Configurações'!$B$7/100,"Primeiro alerta","Dentro do limite")))))</x:f>
        <x:v>Dentro do limite</x:v>
      </x:c>
    </x:row>
    <x:row r="10">
      <x:c r="A10" s="40" t="str">
        <x:v>Educação</x:v>
      </x:c>
      <x:c r="B10" s="86" t="n">
        <x:v>100</x:v>
      </x:c>
      <x:c r="C10" s="82" t="n">
        <x:f>IF(A10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10)+SUMIFS('Contas recorrentes'!$M$2:$M$301,'Contas recorrentes'!$F$2:$F$301,"Paga",'Contas recorrentes'!$A$2:$A$301,"&gt;="&amp;'Painel'!$B$3,'Contas recorrentes'!$A$2:$A$301,"&lt;"&amp;DATE(YEAR('Painel'!$B$3),MONTH('Painel'!$B$3)+1,1),'Contas recorrentes'!$C$2:$C$301,$A10),2))</x:f>
        <x:v>0</x:v>
      </x:c>
      <x:c r="D10" s="82" t="n">
        <x:f>IF(A10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10),2))</x:f>
        <x:v>0</x:v>
      </x:c>
      <x:c r="E10" s="82" t="n">
        <x:f>IF(A10="","",ROUND(B10-C10,2))</x:f>
        <x:v>100</x:v>
      </x:c>
      <x:c r="F10" s="84" t="n">
        <x:f>IF(A10="","",IF(B10&gt;0,C10/B10,0))</x:f>
        <x:v>0</x:v>
      </x:c>
      <x:c r="G10" t="str">
        <x:f>IF(A10="","",IF(B10=0,"Sem limite",IF(C10&gt;=B10,"Limite excedido",IF(F10&gt;='Configurações'!$B$8/100,"Alerta alto",IF(F10&gt;='Configurações'!$B$7/100,"Primeiro alerta","Dentro do limite")))))</x:f>
        <x:v>Dentro do limite</x:v>
      </x:c>
    </x:row>
    <x:row r="11">
      <x:c r="A11" s="40" t="str">
        <x:v>Assinaturas</x:v>
      </x:c>
      <x:c r="B11" s="86" t="n">
        <x:v>80</x:v>
      </x:c>
      <x:c r="C11" s="82" t="n">
        <x:f>IF(A11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11)+SUMIFS('Contas recorrentes'!$M$2:$M$301,'Contas recorrentes'!$F$2:$F$301,"Paga",'Contas recorrentes'!$A$2:$A$301,"&gt;="&amp;'Painel'!$B$3,'Contas recorrentes'!$A$2:$A$301,"&lt;"&amp;DATE(YEAR('Painel'!$B$3),MONTH('Painel'!$B$3)+1,1),'Contas recorrentes'!$C$2:$C$301,$A11),2))</x:f>
        <x:v>0</x:v>
      </x:c>
      <x:c r="D11" s="82" t="n">
        <x:f>IF(A11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11),2))</x:f>
        <x:v>0</x:v>
      </x:c>
      <x:c r="E11" s="82" t="n">
        <x:f>IF(A11="","",ROUND(B11-C11,2))</x:f>
        <x:v>80</x:v>
      </x:c>
      <x:c r="F11" s="84" t="n">
        <x:f>IF(A11="","",IF(B11&gt;0,C11/B11,0))</x:f>
        <x:v>0</x:v>
      </x:c>
      <x:c r="G11" t="str">
        <x:f>IF(A11="","",IF(B11=0,"Sem limite",IF(C11&gt;=B11,"Limite excedido",IF(F11&gt;='Configurações'!$B$8/100,"Alerta alto",IF(F11&gt;='Configurações'!$B$7/100,"Primeiro alerta","Dentro do limite")))))</x:f>
        <x:v>Dentro do limite</x:v>
      </x:c>
    </x:row>
    <x:row r="12">
      <x:c r="A12" s="40" t="str">
        <x:v>Contas e serviços</x:v>
      </x:c>
      <x:c r="B12" s="86" t="n">
        <x:v>250</x:v>
      </x:c>
      <x:c r="C12" s="82" t="n">
        <x:f>IF(A12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12)+SUMIFS('Contas recorrentes'!$M$2:$M$301,'Contas recorrentes'!$F$2:$F$301,"Paga",'Contas recorrentes'!$A$2:$A$301,"&gt;="&amp;'Painel'!$B$3,'Contas recorrentes'!$A$2:$A$301,"&lt;"&amp;DATE(YEAR('Painel'!$B$3),MONTH('Painel'!$B$3)+1,1),'Contas recorrentes'!$C$2:$C$301,$A12),2))</x:f>
        <x:v>0</x:v>
      </x:c>
      <x:c r="D12" s="82" t="n">
        <x:f>IF(A12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12),2))</x:f>
        <x:v>0</x:v>
      </x:c>
      <x:c r="E12" s="82" t="n">
        <x:f>IF(A12="","",ROUND(B12-C12,2))</x:f>
        <x:v>250</x:v>
      </x:c>
      <x:c r="F12" s="84" t="n">
        <x:f>IF(A12="","",IF(B12&gt;0,C12/B12,0))</x:f>
        <x:v>0</x:v>
      </x:c>
      <x:c r="G12" t="str">
        <x:f>IF(A12="","",IF(B12=0,"Sem limite",IF(C12&gt;=B12,"Limite excedido",IF(F12&gt;='Configurações'!$B$8/100,"Alerta alto",IF(F12&gt;='Configurações'!$B$7/100,"Primeiro alerta","Dentro do limite")))))</x:f>
        <x:v>Dentro do limite</x:v>
      </x:c>
    </x:row>
    <x:row r="13">
      <x:c r="A13" s="40" t="str">
        <x:v>Outros</x:v>
      </x:c>
      <x:c r="B13" s="86" t="n">
        <x:v>100</x:v>
      </x:c>
      <x:c r="C13" s="82" t="n">
        <x:f>IF(A13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13)+SUMIFS('Contas recorrentes'!$M$2:$M$301,'Contas recorrentes'!$F$2:$F$301,"Paga",'Contas recorrentes'!$A$2:$A$301,"&gt;="&amp;'Painel'!$B$3,'Contas recorrentes'!$A$2:$A$301,"&lt;"&amp;DATE(YEAR('Painel'!$B$3),MONTH('Painel'!$B$3)+1,1),'Contas recorrentes'!$C$2:$C$301,$A13),2))</x:f>
        <x:v>0</x:v>
      </x:c>
      <x:c r="D13" s="82" t="n">
        <x:f>IF(A13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13),2))</x:f>
        <x:v>0</x:v>
      </x:c>
      <x:c r="E13" s="82" t="n">
        <x:f>IF(A13="","",ROUND(B13-C13,2))</x:f>
        <x:v>100</x:v>
      </x:c>
      <x:c r="F13" s="84" t="n">
        <x:f>IF(A13="","",IF(B13&gt;0,C13/B13,0))</x:f>
        <x:v>0</x:v>
      </x:c>
      <x:c r="G13" t="str">
        <x:f>IF(A13="","",IF(B13=0,"Sem limite",IF(C13&gt;=B13,"Limite excedido",IF(F13&gt;='Configurações'!$B$8/100,"Alerta alto",IF(F13&gt;='Configurações'!$B$7/100,"Primeiro alerta","Dentro do limite")))))</x:f>
        <x:v>Dentro do limite</x:v>
      </x:c>
    </x:row>
    <x:row r="14">
      <x:c r="A14" s="40" t="str">
        <x:v>Objetivos</x:v>
      </x:c>
      <x:c r="B14" s="86" t="n">
        <x:v>0</x:v>
      </x:c>
      <x:c r="C14" s="82" t="n">
        <x:f>IF(A14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14)+SUMIFS('Contas recorrentes'!$M$2:$M$301,'Contas recorrentes'!$F$2:$F$301,"Paga",'Contas recorrentes'!$A$2:$A$301,"&gt;="&amp;'Painel'!$B$3,'Contas recorrentes'!$A$2:$A$301,"&lt;"&amp;DATE(YEAR('Painel'!$B$3),MONTH('Painel'!$B$3)+1,1),'Contas recorrentes'!$C$2:$C$301,$A14),2))</x:f>
        <x:v>0</x:v>
      </x:c>
      <x:c r="D14" s="82" t="n">
        <x:f>IF(A14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14),2))</x:f>
        <x:v>0</x:v>
      </x:c>
      <x:c r="E14" s="82" t="n">
        <x:f>IF(A14="","",ROUND(B14-C14,2))</x:f>
        <x:v>0</x:v>
      </x:c>
      <x:c r="F14" s="84" t="n">
        <x:f>IF(A14="","",IF(B14&gt;0,C14/B14,0))</x:f>
        <x:v>0</x:v>
      </x:c>
      <x:c r="G14" t="str">
        <x:f>IF(A14="","",IF(B14=0,"Sem limite",IF(C14&gt;=B14,"Limite excedido",IF(F14&gt;='Configurações'!$B$8/100,"Alerta alto",IF(F14&gt;='Configurações'!$B$7/100,"Primeiro alerta","Dentro do limite")))))</x:f>
        <x:v>Sem limite</x:v>
      </x:c>
    </x:row>
    <x:row r="15">
      <x:c r="A15" s="40" t="str">
        <x:v>Reserva de emergência</x:v>
      </x:c>
      <x:c r="B15" s="86" t="n">
        <x:v>0</x:v>
      </x:c>
      <x:c r="C15" s="82" t="n">
        <x:f>IF(A15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15)+SUMIFS('Contas recorrentes'!$M$2:$M$301,'Contas recorrentes'!$F$2:$F$301,"Paga",'Contas recorrentes'!$A$2:$A$301,"&gt;="&amp;'Painel'!$B$3,'Contas recorrentes'!$A$2:$A$301,"&lt;"&amp;DATE(YEAR('Painel'!$B$3),MONTH('Painel'!$B$3)+1,1),'Contas recorrentes'!$C$2:$C$301,$A15),2))</x:f>
        <x:v>0</x:v>
      </x:c>
      <x:c r="D15" s="82" t="n">
        <x:f>IF(A15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15),2))</x:f>
        <x:v>0</x:v>
      </x:c>
      <x:c r="E15" s="82" t="n">
        <x:f>IF(A15="","",ROUND(B15-C15,2))</x:f>
        <x:v>0</x:v>
      </x:c>
      <x:c r="F15" s="84" t="n">
        <x:f>IF(A15="","",IF(B15&gt;0,C15/B15,0))</x:f>
        <x:v>0</x:v>
      </x:c>
      <x:c r="G15" t="str">
        <x:f>IF(A15="","",IF(B15=0,"Sem limite",IF(C15&gt;=B15,"Limite excedido",IF(F15&gt;='Configurações'!$B$8/100,"Alerta alto",IF(F15&gt;='Configurações'!$B$7/100,"Primeiro alerta","Dentro do limite")))))</x:f>
        <x:v>Sem limite</x:v>
      </x:c>
    </x:row>
    <x:row r="16">
      <x:c r="A16" s="40"/>
      <x:c r="B16" s="86"/>
      <x:c r="C16" s="82" t="str">
        <x:f>IF(A16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16)+SUMIFS('Contas recorrentes'!$M$2:$M$301,'Contas recorrentes'!$F$2:$F$301,"Paga",'Contas recorrentes'!$A$2:$A$301,"&gt;="&amp;'Painel'!$B$3,'Contas recorrentes'!$A$2:$A$301,"&lt;"&amp;DATE(YEAR('Painel'!$B$3),MONTH('Painel'!$B$3)+1,1),'Contas recorrentes'!$C$2:$C$301,$A16),2))</x:f>
      </x:c>
      <x:c r="D16" s="82" t="str">
        <x:f>IF(A16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16),2))</x:f>
      </x:c>
      <x:c r="E16" s="82" t="str">
        <x:f>IF(A16="","",ROUND(B16-C16,2))</x:f>
      </x:c>
      <x:c r="F16" s="84" t="str">
        <x:f>IF(A16="","",IF(B16&gt;0,C16/B16,0))</x:f>
      </x:c>
      <x:c r="G16" t="str">
        <x:f>IF(A16="","",IF(B16=0,"Sem limite",IF(C16&gt;=B16,"Limite excedido",IF(F16&gt;='Configurações'!$B$8/100,"Alerta alto",IF(F16&gt;='Configurações'!$B$7/100,"Primeiro alerta","Dentro do limite")))))</x:f>
      </x:c>
    </x:row>
    <x:row r="17">
      <x:c r="A17" s="40"/>
      <x:c r="B17" s="86"/>
      <x:c r="C17" s="82" t="str">
        <x:f>IF(A17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17)+SUMIFS('Contas recorrentes'!$M$2:$M$301,'Contas recorrentes'!$F$2:$F$301,"Paga",'Contas recorrentes'!$A$2:$A$301,"&gt;="&amp;'Painel'!$B$3,'Contas recorrentes'!$A$2:$A$301,"&lt;"&amp;DATE(YEAR('Painel'!$B$3),MONTH('Painel'!$B$3)+1,1),'Contas recorrentes'!$C$2:$C$301,$A17),2))</x:f>
      </x:c>
      <x:c r="D17" s="82" t="str">
        <x:f>IF(A17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17),2))</x:f>
      </x:c>
      <x:c r="E17" s="82" t="str">
        <x:f>IF(A17="","",ROUND(B17-C17,2))</x:f>
      </x:c>
      <x:c r="F17" s="84" t="str">
        <x:f>IF(A17="","",IF(B17&gt;0,C17/B17,0))</x:f>
      </x:c>
      <x:c r="G17" t="str">
        <x:f>IF(A17="","",IF(B17=0,"Sem limite",IF(C17&gt;=B17,"Limite excedido",IF(F17&gt;='Configurações'!$B$8/100,"Alerta alto",IF(F17&gt;='Configurações'!$B$7/100,"Primeiro alerta","Dentro do limite")))))</x:f>
      </x:c>
    </x:row>
    <x:row r="18">
      <x:c r="A18" s="40"/>
      <x:c r="B18" s="86"/>
      <x:c r="C18" s="82" t="str">
        <x:f>IF(A18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18)+SUMIFS('Contas recorrentes'!$M$2:$M$301,'Contas recorrentes'!$F$2:$F$301,"Paga",'Contas recorrentes'!$A$2:$A$301,"&gt;="&amp;'Painel'!$B$3,'Contas recorrentes'!$A$2:$A$301,"&lt;"&amp;DATE(YEAR('Painel'!$B$3),MONTH('Painel'!$B$3)+1,1),'Contas recorrentes'!$C$2:$C$301,$A18),2))</x:f>
      </x:c>
      <x:c r="D18" s="82" t="str">
        <x:f>IF(A18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18),2))</x:f>
      </x:c>
      <x:c r="E18" s="82" t="str">
        <x:f>IF(A18="","",ROUND(B18-C18,2))</x:f>
      </x:c>
      <x:c r="F18" s="84" t="str">
        <x:f>IF(A18="","",IF(B18&gt;0,C18/B18,0))</x:f>
      </x:c>
      <x:c r="G18" t="str">
        <x:f>IF(A18="","",IF(B18=0,"Sem limite",IF(C18&gt;=B18,"Limite excedido",IF(F18&gt;='Configurações'!$B$8/100,"Alerta alto",IF(F18&gt;='Configurações'!$B$7/100,"Primeiro alerta","Dentro do limite")))))</x:f>
      </x:c>
    </x:row>
    <x:row r="19">
      <x:c r="A19" s="40"/>
      <x:c r="B19" s="86"/>
      <x:c r="C19" s="82" t="str">
        <x:f>IF(A19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19)+SUMIFS('Contas recorrentes'!$M$2:$M$301,'Contas recorrentes'!$F$2:$F$301,"Paga",'Contas recorrentes'!$A$2:$A$301,"&gt;="&amp;'Painel'!$B$3,'Contas recorrentes'!$A$2:$A$301,"&lt;"&amp;DATE(YEAR('Painel'!$B$3),MONTH('Painel'!$B$3)+1,1),'Contas recorrentes'!$C$2:$C$301,$A19),2))</x:f>
      </x:c>
      <x:c r="D19" s="82" t="str">
        <x:f>IF(A19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19),2))</x:f>
      </x:c>
      <x:c r="E19" s="82" t="str">
        <x:f>IF(A19="","",ROUND(B19-C19,2))</x:f>
      </x:c>
      <x:c r="F19" s="84" t="str">
        <x:f>IF(A19="","",IF(B19&gt;0,C19/B19,0))</x:f>
      </x:c>
      <x:c r="G19" t="str">
        <x:f>IF(A19="","",IF(B19=0,"Sem limite",IF(C19&gt;=B19,"Limite excedido",IF(F19&gt;='Configurações'!$B$8/100,"Alerta alto",IF(F19&gt;='Configurações'!$B$7/100,"Primeiro alerta","Dentro do limite")))))</x:f>
      </x:c>
    </x:row>
    <x:row r="20">
      <x:c r="A20" s="40"/>
      <x:c r="B20" s="86"/>
      <x:c r="C20" s="82" t="str">
        <x:f>IF(A20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20)+SUMIFS('Contas recorrentes'!$M$2:$M$301,'Contas recorrentes'!$F$2:$F$301,"Paga",'Contas recorrentes'!$A$2:$A$301,"&gt;="&amp;'Painel'!$B$3,'Contas recorrentes'!$A$2:$A$301,"&lt;"&amp;DATE(YEAR('Painel'!$B$3),MONTH('Painel'!$B$3)+1,1),'Contas recorrentes'!$C$2:$C$301,$A20),2))</x:f>
      </x:c>
      <x:c r="D20" s="82" t="str">
        <x:f>IF(A20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20),2))</x:f>
      </x:c>
      <x:c r="E20" s="82" t="str">
        <x:f>IF(A20="","",ROUND(B20-C20,2))</x:f>
      </x:c>
      <x:c r="F20" s="84" t="str">
        <x:f>IF(A20="","",IF(B20&gt;0,C20/B20,0))</x:f>
      </x:c>
      <x:c r="G20" t="str">
        <x:f>IF(A20="","",IF(B20=0,"Sem limite",IF(C20&gt;=B20,"Limite excedido",IF(F20&gt;='Configurações'!$B$8/100,"Alerta alto",IF(F20&gt;='Configurações'!$B$7/100,"Primeiro alerta","Dentro do limite")))))</x:f>
      </x:c>
    </x:row>
    <x:row r="21">
      <x:c r="A21" s="40"/>
      <x:c r="B21" s="86"/>
      <x:c r="C21" s="82" t="str">
        <x:f>IF(A21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21)+SUMIFS('Contas recorrentes'!$M$2:$M$301,'Contas recorrentes'!$F$2:$F$301,"Paga",'Contas recorrentes'!$A$2:$A$301,"&gt;="&amp;'Painel'!$B$3,'Contas recorrentes'!$A$2:$A$301,"&lt;"&amp;DATE(YEAR('Painel'!$B$3),MONTH('Painel'!$B$3)+1,1),'Contas recorrentes'!$C$2:$C$301,$A21),2))</x:f>
      </x:c>
      <x:c r="D21" s="82" t="str">
        <x:f>IF(A21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21),2))</x:f>
      </x:c>
      <x:c r="E21" s="82" t="str">
        <x:f>IF(A21="","",ROUND(B21-C21,2))</x:f>
      </x:c>
      <x:c r="F21" s="84" t="str">
        <x:f>IF(A21="","",IF(B21&gt;0,C21/B21,0))</x:f>
      </x:c>
      <x:c r="G21" t="str">
        <x:f>IF(A21="","",IF(B21=0,"Sem limite",IF(C21&gt;=B21,"Limite excedido",IF(F21&gt;='Configurações'!$B$8/100,"Alerta alto",IF(F21&gt;='Configurações'!$B$7/100,"Primeiro alerta","Dentro do limite")))))</x:f>
      </x:c>
    </x:row>
    <x:row r="22">
      <x:c r="A22" s="40"/>
      <x:c r="B22" s="86"/>
      <x:c r="C22" s="82" t="str">
        <x:f>IF(A22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22)+SUMIFS('Contas recorrentes'!$M$2:$M$301,'Contas recorrentes'!$F$2:$F$301,"Paga",'Contas recorrentes'!$A$2:$A$301,"&gt;="&amp;'Painel'!$B$3,'Contas recorrentes'!$A$2:$A$301,"&lt;"&amp;DATE(YEAR('Painel'!$B$3),MONTH('Painel'!$B$3)+1,1),'Contas recorrentes'!$C$2:$C$301,$A22),2))</x:f>
      </x:c>
      <x:c r="D22" s="82" t="str">
        <x:f>IF(A22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22),2))</x:f>
      </x:c>
      <x:c r="E22" s="82" t="str">
        <x:f>IF(A22="","",ROUND(B22-C22,2))</x:f>
      </x:c>
      <x:c r="F22" s="84" t="str">
        <x:f>IF(A22="","",IF(B22&gt;0,C22/B22,0))</x:f>
      </x:c>
      <x:c r="G22" t="str">
        <x:f>IF(A22="","",IF(B22=0,"Sem limite",IF(C22&gt;=B22,"Limite excedido",IF(F22&gt;='Configurações'!$B$8/100,"Alerta alto",IF(F22&gt;='Configurações'!$B$7/100,"Primeiro alerta","Dentro do limite")))))</x:f>
      </x:c>
    </x:row>
    <x:row r="23">
      <x:c r="A23" s="40"/>
      <x:c r="B23" s="86"/>
      <x:c r="C23" s="82" t="str">
        <x:f>IF(A23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23)+SUMIFS('Contas recorrentes'!$M$2:$M$301,'Contas recorrentes'!$F$2:$F$301,"Paga",'Contas recorrentes'!$A$2:$A$301,"&gt;="&amp;'Painel'!$B$3,'Contas recorrentes'!$A$2:$A$301,"&lt;"&amp;DATE(YEAR('Painel'!$B$3),MONTH('Painel'!$B$3)+1,1),'Contas recorrentes'!$C$2:$C$301,$A23),2))</x:f>
      </x:c>
      <x:c r="D23" s="82" t="str">
        <x:f>IF(A23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23),2))</x:f>
      </x:c>
      <x:c r="E23" s="82" t="str">
        <x:f>IF(A23="","",ROUND(B23-C23,2))</x:f>
      </x:c>
      <x:c r="F23" s="84" t="str">
        <x:f>IF(A23="","",IF(B23&gt;0,C23/B23,0))</x:f>
      </x:c>
      <x:c r="G23" t="str">
        <x:f>IF(A23="","",IF(B23=0,"Sem limite",IF(C23&gt;=B23,"Limite excedido",IF(F23&gt;='Configurações'!$B$8/100,"Alerta alto",IF(F23&gt;='Configurações'!$B$7/100,"Primeiro alerta","Dentro do limite")))))</x:f>
      </x:c>
    </x:row>
    <x:row r="24">
      <x:c r="A24" s="40"/>
      <x:c r="B24" s="86"/>
      <x:c r="C24" s="82" t="str">
        <x:f>IF(A24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24)+SUMIFS('Contas recorrentes'!$M$2:$M$301,'Contas recorrentes'!$F$2:$F$301,"Paga",'Contas recorrentes'!$A$2:$A$301,"&gt;="&amp;'Painel'!$B$3,'Contas recorrentes'!$A$2:$A$301,"&lt;"&amp;DATE(YEAR('Painel'!$B$3),MONTH('Painel'!$B$3)+1,1),'Contas recorrentes'!$C$2:$C$301,$A24),2))</x:f>
      </x:c>
      <x:c r="D24" s="82" t="str">
        <x:f>IF(A24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24),2))</x:f>
      </x:c>
      <x:c r="E24" s="82" t="str">
        <x:f>IF(A24="","",ROUND(B24-C24,2))</x:f>
      </x:c>
      <x:c r="F24" s="84" t="str">
        <x:f>IF(A24="","",IF(B24&gt;0,C24/B24,0))</x:f>
      </x:c>
      <x:c r="G24" t="str">
        <x:f>IF(A24="","",IF(B24=0,"Sem limite",IF(C24&gt;=B24,"Limite excedido",IF(F24&gt;='Configurações'!$B$8/100,"Alerta alto",IF(F24&gt;='Configurações'!$B$7/100,"Primeiro alerta","Dentro do limite")))))</x:f>
      </x:c>
    </x:row>
    <x:row r="25">
      <x:c r="A25" s="40"/>
      <x:c r="B25" s="86"/>
      <x:c r="C25" s="82" t="str">
        <x:f>IF(A25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25)+SUMIFS('Contas recorrentes'!$M$2:$M$301,'Contas recorrentes'!$F$2:$F$301,"Paga",'Contas recorrentes'!$A$2:$A$301,"&gt;="&amp;'Painel'!$B$3,'Contas recorrentes'!$A$2:$A$301,"&lt;"&amp;DATE(YEAR('Painel'!$B$3),MONTH('Painel'!$B$3)+1,1),'Contas recorrentes'!$C$2:$C$301,$A25),2))</x:f>
      </x:c>
      <x:c r="D25" s="82" t="str">
        <x:f>IF(A25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25),2))</x:f>
      </x:c>
      <x:c r="E25" s="82" t="str">
        <x:f>IF(A25="","",ROUND(B25-C25,2))</x:f>
      </x:c>
      <x:c r="F25" s="84" t="str">
        <x:f>IF(A25="","",IF(B25&gt;0,C25/B25,0))</x:f>
      </x:c>
      <x:c r="G25" t="str">
        <x:f>IF(A25="","",IF(B25=0,"Sem limite",IF(C25&gt;=B25,"Limite excedido",IF(F25&gt;='Configurações'!$B$8/100,"Alerta alto",IF(F25&gt;='Configurações'!$B$7/100,"Primeiro alerta","Dentro do limite")))))</x:f>
      </x:c>
    </x:row>
    <x:row r="26">
      <x:c r="A26" s="40"/>
      <x:c r="B26" s="86"/>
      <x:c r="C26" s="82" t="str">
        <x:f>IF(A26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26)+SUMIFS('Contas recorrentes'!$M$2:$M$301,'Contas recorrentes'!$F$2:$F$301,"Paga",'Contas recorrentes'!$A$2:$A$301,"&gt;="&amp;'Painel'!$B$3,'Contas recorrentes'!$A$2:$A$301,"&lt;"&amp;DATE(YEAR('Painel'!$B$3),MONTH('Painel'!$B$3)+1,1),'Contas recorrentes'!$C$2:$C$301,$A26),2))</x:f>
      </x:c>
      <x:c r="D26" s="82" t="str">
        <x:f>IF(A26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26),2))</x:f>
      </x:c>
      <x:c r="E26" s="82" t="str">
        <x:f>IF(A26="","",ROUND(B26-C26,2))</x:f>
      </x:c>
      <x:c r="F26" s="84" t="str">
        <x:f>IF(A26="","",IF(B26&gt;0,C26/B26,0))</x:f>
      </x:c>
      <x:c r="G26" t="str">
        <x:f>IF(A26="","",IF(B26=0,"Sem limite",IF(C26&gt;=B26,"Limite excedido",IF(F26&gt;='Configurações'!$B$8/100,"Alerta alto",IF(F26&gt;='Configurações'!$B$7/100,"Primeiro alerta","Dentro do limite")))))</x:f>
      </x:c>
    </x:row>
    <x:row r="27">
      <x:c r="A27" s="40"/>
      <x:c r="B27" s="86"/>
      <x:c r="C27" s="82" t="str">
        <x:f>IF(A27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27)+SUMIFS('Contas recorrentes'!$M$2:$M$301,'Contas recorrentes'!$F$2:$F$301,"Paga",'Contas recorrentes'!$A$2:$A$301,"&gt;="&amp;'Painel'!$B$3,'Contas recorrentes'!$A$2:$A$301,"&lt;"&amp;DATE(YEAR('Painel'!$B$3),MONTH('Painel'!$B$3)+1,1),'Contas recorrentes'!$C$2:$C$301,$A27),2))</x:f>
      </x:c>
      <x:c r="D27" s="82" t="str">
        <x:f>IF(A27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27),2))</x:f>
      </x:c>
      <x:c r="E27" s="82" t="str">
        <x:f>IF(A27="","",ROUND(B27-C27,2))</x:f>
      </x:c>
      <x:c r="F27" s="84" t="str">
        <x:f>IF(A27="","",IF(B27&gt;0,C27/B27,0))</x:f>
      </x:c>
      <x:c r="G27" t="str">
        <x:f>IF(A27="","",IF(B27=0,"Sem limite",IF(C27&gt;=B27,"Limite excedido",IF(F27&gt;='Configurações'!$B$8/100,"Alerta alto",IF(F27&gt;='Configurações'!$B$7/100,"Primeiro alerta","Dentro do limite")))))</x:f>
      </x:c>
    </x:row>
    <x:row r="28">
      <x:c r="A28" s="40"/>
      <x:c r="B28" s="86"/>
      <x:c r="C28" s="82" t="str">
        <x:f>IF(A28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28)+SUMIFS('Contas recorrentes'!$M$2:$M$301,'Contas recorrentes'!$F$2:$F$301,"Paga",'Contas recorrentes'!$A$2:$A$301,"&gt;="&amp;'Painel'!$B$3,'Contas recorrentes'!$A$2:$A$301,"&lt;"&amp;DATE(YEAR('Painel'!$B$3),MONTH('Painel'!$B$3)+1,1),'Contas recorrentes'!$C$2:$C$301,$A28),2))</x:f>
      </x:c>
      <x:c r="D28" s="82" t="str">
        <x:f>IF(A28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28),2))</x:f>
      </x:c>
      <x:c r="E28" s="82" t="str">
        <x:f>IF(A28="","",ROUND(B28-C28,2))</x:f>
      </x:c>
      <x:c r="F28" s="84" t="str">
        <x:f>IF(A28="","",IF(B28&gt;0,C28/B28,0))</x:f>
      </x:c>
      <x:c r="G28" t="str">
        <x:f>IF(A28="","",IF(B28=0,"Sem limite",IF(C28&gt;=B28,"Limite excedido",IF(F28&gt;='Configurações'!$B$8/100,"Alerta alto",IF(F28&gt;='Configurações'!$B$7/100,"Primeiro alerta","Dentro do limite")))))</x:f>
      </x:c>
    </x:row>
    <x:row r="29">
      <x:c r="A29" s="40"/>
      <x:c r="B29" s="86"/>
      <x:c r="C29" s="82" t="str">
        <x:f>IF(A29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29)+SUMIFS('Contas recorrentes'!$M$2:$M$301,'Contas recorrentes'!$F$2:$F$301,"Paga",'Contas recorrentes'!$A$2:$A$301,"&gt;="&amp;'Painel'!$B$3,'Contas recorrentes'!$A$2:$A$301,"&lt;"&amp;DATE(YEAR('Painel'!$B$3),MONTH('Painel'!$B$3)+1,1),'Contas recorrentes'!$C$2:$C$301,$A29),2))</x:f>
      </x:c>
      <x:c r="D29" s="82" t="str">
        <x:f>IF(A29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29),2))</x:f>
      </x:c>
      <x:c r="E29" s="82" t="str">
        <x:f>IF(A29="","",ROUND(B29-C29,2))</x:f>
      </x:c>
      <x:c r="F29" s="84" t="str">
        <x:f>IF(A29="","",IF(B29&gt;0,C29/B29,0))</x:f>
      </x:c>
      <x:c r="G29" t="str">
        <x:f>IF(A29="","",IF(B29=0,"Sem limite",IF(C29&gt;=B29,"Limite excedido",IF(F29&gt;='Configurações'!$B$8/100,"Alerta alto",IF(F29&gt;='Configurações'!$B$7/100,"Primeiro alerta","Dentro do limite")))))</x:f>
      </x:c>
    </x:row>
    <x:row r="30">
      <x:c r="A30" s="40"/>
      <x:c r="B30" s="86"/>
      <x:c r="C30" s="82" t="str">
        <x:f>IF(A30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30)+SUMIFS('Contas recorrentes'!$M$2:$M$301,'Contas recorrentes'!$F$2:$F$301,"Paga",'Contas recorrentes'!$A$2:$A$301,"&gt;="&amp;'Painel'!$B$3,'Contas recorrentes'!$A$2:$A$301,"&lt;"&amp;DATE(YEAR('Painel'!$B$3),MONTH('Painel'!$B$3)+1,1),'Contas recorrentes'!$C$2:$C$301,$A30),2))</x:f>
      </x:c>
      <x:c r="D30" s="82" t="str">
        <x:f>IF(A30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30),2))</x:f>
      </x:c>
      <x:c r="E30" s="82" t="str">
        <x:f>IF(A30="","",ROUND(B30-C30,2))</x:f>
      </x:c>
      <x:c r="F30" s="84" t="str">
        <x:f>IF(A30="","",IF(B30&gt;0,C30/B30,0))</x:f>
      </x:c>
      <x:c r="G30" t="str">
        <x:f>IF(A30="","",IF(B30=0,"Sem limite",IF(C30&gt;=B30,"Limite excedido",IF(F30&gt;='Configurações'!$B$8/100,"Alerta alto",IF(F30&gt;='Configurações'!$B$7/100,"Primeiro alerta","Dentro do limite")))))</x:f>
      </x:c>
    </x:row>
    <x:row r="31">
      <x:c r="A31" s="40"/>
      <x:c r="B31" s="86"/>
      <x:c r="C31" s="82" t="str">
        <x:f>IF(A31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31)+SUMIFS('Contas recorrentes'!$M$2:$M$301,'Contas recorrentes'!$F$2:$F$301,"Paga",'Contas recorrentes'!$A$2:$A$301,"&gt;="&amp;'Painel'!$B$3,'Contas recorrentes'!$A$2:$A$301,"&lt;"&amp;DATE(YEAR('Painel'!$B$3),MONTH('Painel'!$B$3)+1,1),'Contas recorrentes'!$C$2:$C$301,$A31),2))</x:f>
      </x:c>
      <x:c r="D31" s="82" t="str">
        <x:f>IF(A31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31),2))</x:f>
      </x:c>
      <x:c r="E31" s="82" t="str">
        <x:f>IF(A31="","",ROUND(B31-C31,2))</x:f>
      </x:c>
      <x:c r="F31" s="84" t="str">
        <x:f>IF(A31="","",IF(B31&gt;0,C31/B31,0))</x:f>
      </x:c>
      <x:c r="G31" t="str">
        <x:f>IF(A31="","",IF(B31=0,"Sem limite",IF(C31&gt;=B31,"Limite excedido",IF(F31&gt;='Configurações'!$B$8/100,"Alerta alto",IF(F31&gt;='Configurações'!$B$7/100,"Primeiro alerta","Dentro do limite")))))</x:f>
      </x:c>
    </x:row>
    <x:row r="32">
      <x:c r="A32" s="40"/>
      <x:c r="B32" s="86"/>
      <x:c r="C32" s="82" t="str">
        <x:f>IF(A32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32)+SUMIFS('Contas recorrentes'!$M$2:$M$301,'Contas recorrentes'!$F$2:$F$301,"Paga",'Contas recorrentes'!$A$2:$A$301,"&gt;="&amp;'Painel'!$B$3,'Contas recorrentes'!$A$2:$A$301,"&lt;"&amp;DATE(YEAR('Painel'!$B$3),MONTH('Painel'!$B$3)+1,1),'Contas recorrentes'!$C$2:$C$301,$A32),2))</x:f>
      </x:c>
      <x:c r="D32" s="82" t="str">
        <x:f>IF(A32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32),2))</x:f>
      </x:c>
      <x:c r="E32" s="82" t="str">
        <x:f>IF(A32="","",ROUND(B32-C32,2))</x:f>
      </x:c>
      <x:c r="F32" s="84" t="str">
        <x:f>IF(A32="","",IF(B32&gt;0,C32/B32,0))</x:f>
      </x:c>
      <x:c r="G32" t="str">
        <x:f>IF(A32="","",IF(B32=0,"Sem limite",IF(C32&gt;=B32,"Limite excedido",IF(F32&gt;='Configurações'!$B$8/100,"Alerta alto",IF(F32&gt;='Configurações'!$B$7/100,"Primeiro alerta","Dentro do limite")))))</x:f>
      </x:c>
    </x:row>
    <x:row r="33">
      <x:c r="A33" s="40"/>
      <x:c r="B33" s="86"/>
      <x:c r="C33" s="82" t="str">
        <x:f>IF(A33="","",ROUND(SUMIFS('Movimentações'!$E$2:$E$501,'Movimentações'!$B$2:$B$501,"Despesa",'Movimentações'!$F$2:$F$501,"Pago",'Movimentações'!$A$2:$A$501,"&gt;="&amp;'Painel'!$B$3,'Movimentações'!$A$2:$A$501,"&lt;"&amp;DATE(YEAR('Painel'!$B$3),MONTH('Painel'!$B$3)+1,1),'Movimentações'!$C$2:$C$501,$A33)+SUMIFS('Contas recorrentes'!$M$2:$M$301,'Contas recorrentes'!$F$2:$F$301,"Paga",'Contas recorrentes'!$A$2:$A$301,"&gt;="&amp;'Painel'!$B$3,'Contas recorrentes'!$A$2:$A$301,"&lt;"&amp;DATE(YEAR('Painel'!$B$3),MONTH('Painel'!$B$3)+1,1),'Contas recorrentes'!$C$2:$C$301,$A33),2))</x:f>
      </x:c>
      <x:c r="D33" s="82" t="str">
        <x:f>IF(A33="","",ROUND(SUMIFS('Movimentações'!$E$2:$E$501,'Movimentações'!$B$2:$B$501,"Despesa",'Movimentações'!$F$2:$F$501,"Planejado",'Movimentações'!$A$2:$A$501,"&gt;="&amp;'Painel'!$B$3,'Movimentações'!$A$2:$A$501,"&lt;"&amp;DATE(YEAR('Painel'!$B$3),MONTH('Painel'!$B$3)+1,1),'Movimentações'!$C$2:$C$501,$A33),2))</x:f>
      </x:c>
      <x:c r="E33" s="82" t="str">
        <x:f>IF(A33="","",ROUND(B33-C33,2))</x:f>
      </x:c>
      <x:c r="F33" s="84" t="str">
        <x:f>IF(A33="","",IF(B33&gt;0,C33/B33,0))</x:f>
      </x:c>
      <x:c r="G33" t="str">
        <x:f>IF(A33="","",IF(B33=0,"Sem limite",IF(C33&gt;=B33,"Limite excedido",IF(F33&gt;='Configurações'!$B$8/100,"Alerta alto",IF(F33&gt;='Configurações'!$B$7/100,"Primeiro alerta","Dentro do limite")))))</x:f>
      </x:c>
    </x:row>
  </x:sheetData>
  <x:mergeCells>
    <x:mergeCell ref="A1:G1"/>
  </x:mergeCells>
  <x:conditionalFormatting sqref="E4:E33">
    <x:cfRule type="cellIs" dxfId="4" priority="1" operator="lessThan">
      <x:formula>0</x:formula>
    </x:cfRule>
  </x:conditionalFormatting>
  <x:conditionalFormatting sqref="G4:G33">
    <x:cfRule type="expression" dxfId="5" priority="2">
      <x:formula>$G4="Limite excedido"</x:formula>
    </x:cfRule>
    <x:cfRule type="expression" dxfId="6" priority="3">
      <x:formula>OR($G4="Alerta alto",$G4="Primeiro alerta")</x:formula>
    </x:cfRule>
  </x:conditionalFormatting>
  <x:dataValidations count="1">
    <x:dataValidation type="list" sqref="A4:A33">
      <x:formula1>'Configurações'!$A$12:$A$23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bd04cd85d4aa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7" hidden="0" customWidth="1"/>
    <x:col min="4" max="4" width="14" hidden="0" customWidth="1"/>
    <x:col min="5" max="5" width="17" hidden="0" customWidth="1"/>
    <x:col min="6" max="6" width="13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2" hidden="0" customWidth="1"/>
    <x:col min="13" max="13" width="14" hidden="0" customWidth="1"/>
    <x:col min="14" max="14" width="20" hidden="0" customWidth="1"/>
    <x:col min="15" max="15" width="18" hidden="0" customWidth="1"/>
  </x:cols>
  <x:sheetData>
    <x:row r="1" ht="37" customHeight="1">
      <x:c r="A1" s="48" t="str">
        <x:v>Objetivo</x:v>
      </x:c>
      <x:c r="B1" s="48" t="str">
        <x:v>Meta (R$)</x:v>
      </x:c>
      <x:c r="C1" s="48" t="str">
        <x:v>Saldo inicial (R$)</x:v>
      </x:c>
      <x:c r="D1" s="48" t="str">
        <x:v>Data-alvo</x:v>
      </x:c>
      <x:c r="E1" s="48" t="str">
        <x:v>Aporte mensal (R$)</x:v>
      </x:c>
      <x:c r="F1" s="48" t="str">
        <x:v>Prioridade</x:v>
      </x:c>
      <x:c r="G1" s="48" t="str">
        <x:v>Situação</x:v>
      </x:c>
      <x:c r="H1" s="48" t="str">
        <x:v>Aportes (R$)</x:v>
      </x:c>
      <x:c r="I1" s="48" t="str">
        <x:v>Retiradas (R$)</x:v>
      </x:c>
      <x:c r="J1" s="48" t="str">
        <x:v>Saldo atual (R$)</x:v>
      </x:c>
      <x:c r="K1" s="48" t="str">
        <x:v>Falta (R$)</x:v>
      </x:c>
      <x:c r="L1" s="48" t="str">
        <x:v>Progresso</x:v>
      </x:c>
      <x:c r="M1" s="48" t="str">
        <x:v>Meses estimados</x:v>
      </x:c>
      <x:c r="N1" s="48" t="str">
        <x:v>Aporte necessário (R$)</x:v>
      </x:c>
      <x:c r="O1" s="48" t="str">
        <x:v>Prazo</x:v>
      </x:c>
    </x:row>
    <x:row r="2">
      <x:c r="A2" s="62" t="str">
        <x:v>Computador (EXEMPLO)</x:v>
      </x:c>
      <x:c r="B2" s="63" t="n">
        <x:v>4000</x:v>
      </x:c>
      <x:c r="C2" s="63" t="n">
        <x:v>500</x:v>
      </x:c>
      <x:c r="D2" s="64" t="n">
        <x:v>46661</x:v>
      </x:c>
      <x:c r="E2" s="63" t="n">
        <x:v>300</x:v>
      </x:c>
      <x:c r="F2" s="62" t="str">
        <x:v>Alta</x:v>
      </x:c>
      <x:c r="G2" s="62" t="str">
        <x:v>Em andamento</x:v>
      </x:c>
      <x:c r="H2" s="52" t="n">
        <x:f>IF(A2="","",ROUND(SUMIFS('Movimentações'!$E$2:$E$501,'Movimentações'!$B$2:$B$501,"Aporte objetivo",'Movimentações'!$G$2:$G$501,$A2),2))</x:f>
        <x:v>200</x:v>
      </x:c>
      <x:c r="I2" s="52" t="n">
        <x:f>IF(A2="","",ROUND(SUMIFS('Movimentações'!$E$2:$E$501,'Movimentações'!$B$2:$B$501,"Retirada objetivo",'Movimentações'!$G$2:$G$501,$A2),2))</x:f>
        <x:v>0</x:v>
      </x:c>
      <x:c r="J2" s="52" t="n">
        <x:f>IF(A2="","",ROUND(C2+H2-I2,2))</x:f>
        <x:v>700</x:v>
      </x:c>
      <x:c r="K2" s="52" t="n">
        <x:f>IF(A2="","",MAX(0,ROUND(B2-J2,2)))</x:f>
        <x:v>3300</x:v>
      </x:c>
      <x:c r="L2" s="58" t="n">
        <x:f>IF(A2="","",IF(B2&gt;0,MIN(1,J2/B2),0))</x:f>
        <x:v>0.175</x:v>
      </x:c>
      <x:c r="M2" s="20" t="n">
        <x:f>IF(A2="","",IF(K2&lt;=0,0,IF(E2&gt;0,ROUNDUP(K2/E2,0),"")))</x:f>
        <x:v>11</x:v>
      </x:c>
      <x:c r="N2" s="52" t="n">
        <x:f>IF(OR(A2="",D2="",K2&lt;=0),"",ROUNDUP(K2/MAX(1,(YEAR(D2)-YEAR('Painel'!$B$3))*12+MONTH(D2)-MONTH('Painel'!$B$3)),2))</x:f>
        <x:v>275</x:v>
      </x:c>
      <x:c r="O2" s="20" t="str">
        <x:f>IF(A2="","",IF(K2&lt;=0,"Atingida",IF(D2="","Sem prazo",IF(E2&gt;=N2,"Viável","Pode não caber"))))</x:f>
        <x:v>Viável</x:v>
      </x:c>
    </x:row>
    <x:row r="3">
      <x:c r="A3" s="62" t="str">
        <x:v>Viagem (EXEMPLO)</x:v>
      </x:c>
      <x:c r="B3" s="63" t="n">
        <x:v>5000</x:v>
      </x:c>
      <x:c r="C3" s="63" t="n">
        <x:v>100</x:v>
      </x:c>
      <x:c r="D3" s="64" t="n">
        <x:v>46388</x:v>
      </x:c>
      <x:c r="E3" s="63" t="n">
        <x:v>100</x:v>
      </x:c>
      <x:c r="F3" s="62" t="str">
        <x:v>Média</x:v>
      </x:c>
      <x:c r="G3" s="62" t="str">
        <x:v>Em andamento</x:v>
      </x:c>
      <x:c r="H3" s="52" t="n">
        <x:f>IF(A3="","",ROUND(SUMIFS('Movimentações'!$E$2:$E$501,'Movimentações'!$B$2:$B$501,"Aporte objetivo",'Movimentações'!$G$2:$G$501,$A3),2))</x:f>
        <x:v>0</x:v>
      </x:c>
      <x:c r="I3" s="52" t="n">
        <x:f>IF(A3="","",ROUND(SUMIFS('Movimentações'!$E$2:$E$501,'Movimentações'!$B$2:$B$501,"Retirada objetivo",'Movimentações'!$G$2:$G$501,$A3),2))</x:f>
        <x:v>0</x:v>
      </x:c>
      <x:c r="J3" s="52" t="n">
        <x:f>IF(A3="","",ROUND(C3+H3-I3,2))</x:f>
        <x:v>100</x:v>
      </x:c>
      <x:c r="K3" s="52" t="n">
        <x:f>IF(A3="","",MAX(0,ROUND(B3-J3,2)))</x:f>
        <x:v>4900</x:v>
      </x:c>
      <x:c r="L3" s="58" t="n">
        <x:f>IF(A3="","",IF(B3&gt;0,MIN(1,J3/B3),0))</x:f>
        <x:v>0.02</x:v>
      </x:c>
      <x:c r="M3" s="20" t="n">
        <x:f>IF(A3="","",IF(K3&lt;=0,0,IF(E3&gt;0,ROUNDUP(K3/E3,0),"")))</x:f>
        <x:v>49</x:v>
      </x:c>
      <x:c r="N3" s="52" t="n">
        <x:f>IF(OR(A3="",D3="",K3&lt;=0),"",ROUNDUP(K3/MAX(1,(YEAR(D3)-YEAR('Painel'!$B$3))*12+MONTH(D3)-MONTH('Painel'!$B$3)),2))</x:f>
        <x:v>1633.34</x:v>
      </x:c>
      <x:c r="O3" s="20" t="str">
        <x:f>IF(A3="","",IF(K3&lt;=0,"Atingida",IF(D3="","Sem prazo",IF(E3&gt;=N3,"Viável","Pode não caber"))))</x:f>
        <x:v>Pode não caber</x:v>
      </x:c>
    </x:row>
    <x:row r="4">
      <x:c r="A4" s="20"/>
      <x:c r="B4" s="52"/>
      <x:c r="C4" s="52"/>
      <x:c r="D4" s="50"/>
      <x:c r="E4" s="52"/>
      <x:c r="F4" s="20"/>
      <x:c r="G4" s="20"/>
      <x:c r="H4" s="52" t="str">
        <x:f>IF(A4="","",ROUND(SUMIFS('Movimentações'!$E$2:$E$501,'Movimentações'!$B$2:$B$501,"Aporte objetivo",'Movimentações'!$G$2:$G$501,$A4),2))</x:f>
      </x:c>
      <x:c r="I4" s="52" t="str">
        <x:f>IF(A4="","",ROUND(SUMIFS('Movimentações'!$E$2:$E$501,'Movimentações'!$B$2:$B$501,"Retirada objetivo",'Movimentações'!$G$2:$G$501,$A4),2))</x:f>
      </x:c>
      <x:c r="J4" s="52" t="str">
        <x:f>IF(A4="","",ROUND(C4+H4-I4,2))</x:f>
      </x:c>
      <x:c r="K4" s="52" t="str">
        <x:f>IF(A4="","",MAX(0,ROUND(B4-J4,2)))</x:f>
      </x:c>
      <x:c r="L4" s="58" t="str">
        <x:f>IF(A4="","",IF(B4&gt;0,MIN(1,J4/B4),0))</x:f>
      </x:c>
      <x:c r="M4" s="20" t="str">
        <x:f>IF(A4="","",IF(K4&lt;=0,0,IF(E4&gt;0,ROUNDUP(K4/E4,0),"")))</x:f>
      </x:c>
      <x:c r="N4" s="52" t="str">
        <x:f>IF(OR(A4="",D4="",K4&lt;=0),"",ROUNDUP(K4/MAX(1,(YEAR(D4)-YEAR('Painel'!$B$3))*12+MONTH(D4)-MONTH('Painel'!$B$3)),2))</x:f>
      </x:c>
      <x:c r="O4" s="20" t="str">
        <x:f>IF(A4="","",IF(K4&lt;=0,"Atingida",IF(D4="","Sem prazo",IF(E4&gt;=N4,"Viável","Pode não caber"))))</x:f>
      </x:c>
    </x:row>
    <x:row r="5">
      <x:c r="A5" s="20"/>
      <x:c r="B5" s="52"/>
      <x:c r="C5" s="52"/>
      <x:c r="D5" s="50"/>
      <x:c r="E5" s="52"/>
      <x:c r="F5" s="20"/>
      <x:c r="G5" s="20"/>
      <x:c r="H5" s="52" t="str">
        <x:f>IF(A5="","",ROUND(SUMIFS('Movimentações'!$E$2:$E$501,'Movimentações'!$B$2:$B$501,"Aporte objetivo",'Movimentações'!$G$2:$G$501,$A5),2))</x:f>
      </x:c>
      <x:c r="I5" s="52" t="str">
        <x:f>IF(A5="","",ROUND(SUMIFS('Movimentações'!$E$2:$E$501,'Movimentações'!$B$2:$B$501,"Retirada objetivo",'Movimentações'!$G$2:$G$501,$A5),2))</x:f>
      </x:c>
      <x:c r="J5" s="52" t="str">
        <x:f>IF(A5="","",ROUND(C5+H5-I5,2))</x:f>
      </x:c>
      <x:c r="K5" s="52" t="str">
        <x:f>IF(A5="","",MAX(0,ROUND(B5-J5,2)))</x:f>
      </x:c>
      <x:c r="L5" s="58" t="str">
        <x:f>IF(A5="","",IF(B5&gt;0,MIN(1,J5/B5),0))</x:f>
      </x:c>
      <x:c r="M5" s="20" t="str">
        <x:f>IF(A5="","",IF(K5&lt;=0,0,IF(E5&gt;0,ROUNDUP(K5/E5,0),"")))</x:f>
      </x:c>
      <x:c r="N5" s="52" t="str">
        <x:f>IF(OR(A5="",D5="",K5&lt;=0),"",ROUNDUP(K5/MAX(1,(YEAR(D5)-YEAR('Painel'!$B$3))*12+MONTH(D5)-MONTH('Painel'!$B$3)),2))</x:f>
      </x:c>
      <x:c r="O5" s="20" t="str">
        <x:f>IF(A5="","",IF(K5&lt;=0,"Atingida",IF(D5="","Sem prazo",IF(E5&gt;=N5,"Viável","Pode não caber"))))</x:f>
      </x:c>
    </x:row>
    <x:row r="6">
      <x:c r="A6" s="20"/>
      <x:c r="B6" s="52"/>
      <x:c r="C6" s="52"/>
      <x:c r="D6" s="50"/>
      <x:c r="E6" s="52"/>
      <x:c r="F6" s="20"/>
      <x:c r="G6" s="20"/>
      <x:c r="H6" s="52" t="str">
        <x:f>IF(A6="","",ROUND(SUMIFS('Movimentações'!$E$2:$E$501,'Movimentações'!$B$2:$B$501,"Aporte objetivo",'Movimentações'!$G$2:$G$501,$A6),2))</x:f>
      </x:c>
      <x:c r="I6" s="52" t="str">
        <x:f>IF(A6="","",ROUND(SUMIFS('Movimentações'!$E$2:$E$501,'Movimentações'!$B$2:$B$501,"Retirada objetivo",'Movimentações'!$G$2:$G$501,$A6),2))</x:f>
      </x:c>
      <x:c r="J6" s="52" t="str">
        <x:f>IF(A6="","",ROUND(C6+H6-I6,2))</x:f>
      </x:c>
      <x:c r="K6" s="52" t="str">
        <x:f>IF(A6="","",MAX(0,ROUND(B6-J6,2)))</x:f>
      </x:c>
      <x:c r="L6" s="58" t="str">
        <x:f>IF(A6="","",IF(B6&gt;0,MIN(1,J6/B6),0))</x:f>
      </x:c>
      <x:c r="M6" s="20" t="str">
        <x:f>IF(A6="","",IF(K6&lt;=0,0,IF(E6&gt;0,ROUNDUP(K6/E6,0),"")))</x:f>
      </x:c>
      <x:c r="N6" s="52" t="str">
        <x:f>IF(OR(A6="",D6="",K6&lt;=0),"",ROUNDUP(K6/MAX(1,(YEAR(D6)-YEAR('Painel'!$B$3))*12+MONTH(D6)-MONTH('Painel'!$B$3)),2))</x:f>
      </x:c>
      <x:c r="O6" s="20" t="str">
        <x:f>IF(A6="","",IF(K6&lt;=0,"Atingida",IF(D6="","Sem prazo",IF(E6&gt;=N6,"Viável","Pode não caber"))))</x:f>
      </x:c>
    </x:row>
    <x:row r="7">
      <x:c r="A7" s="20"/>
      <x:c r="B7" s="52"/>
      <x:c r="C7" s="52"/>
      <x:c r="D7" s="50"/>
      <x:c r="E7" s="52"/>
      <x:c r="F7" s="20"/>
      <x:c r="G7" s="20"/>
      <x:c r="H7" s="52" t="str">
        <x:f>IF(A7="","",ROUND(SUMIFS('Movimentações'!$E$2:$E$501,'Movimentações'!$B$2:$B$501,"Aporte objetivo",'Movimentações'!$G$2:$G$501,$A7),2))</x:f>
      </x:c>
      <x:c r="I7" s="52" t="str">
        <x:f>IF(A7="","",ROUND(SUMIFS('Movimentações'!$E$2:$E$501,'Movimentações'!$B$2:$B$501,"Retirada objetivo",'Movimentações'!$G$2:$G$501,$A7),2))</x:f>
      </x:c>
      <x:c r="J7" s="52" t="str">
        <x:f>IF(A7="","",ROUND(C7+H7-I7,2))</x:f>
      </x:c>
      <x:c r="K7" s="52" t="str">
        <x:f>IF(A7="","",MAX(0,ROUND(B7-J7,2)))</x:f>
      </x:c>
      <x:c r="L7" s="58" t="str">
        <x:f>IF(A7="","",IF(B7&gt;0,MIN(1,J7/B7),0))</x:f>
      </x:c>
      <x:c r="M7" s="20" t="str">
        <x:f>IF(A7="","",IF(K7&lt;=0,0,IF(E7&gt;0,ROUNDUP(K7/E7,0),"")))</x:f>
      </x:c>
      <x:c r="N7" s="52" t="str">
        <x:f>IF(OR(A7="",D7="",K7&lt;=0),"",ROUNDUP(K7/MAX(1,(YEAR(D7)-YEAR('Painel'!$B$3))*12+MONTH(D7)-MONTH('Painel'!$B$3)),2))</x:f>
      </x:c>
      <x:c r="O7" s="20" t="str">
        <x:f>IF(A7="","",IF(K7&lt;=0,"Atingida",IF(D7="","Sem prazo",IF(E7&gt;=N7,"Viável","Pode não caber"))))</x:f>
      </x:c>
    </x:row>
    <x:row r="8">
      <x:c r="A8" s="20"/>
      <x:c r="B8" s="52"/>
      <x:c r="C8" s="52"/>
      <x:c r="D8" s="50"/>
      <x:c r="E8" s="52"/>
      <x:c r="F8" s="20"/>
      <x:c r="G8" s="20"/>
      <x:c r="H8" s="52" t="str">
        <x:f>IF(A8="","",ROUND(SUMIFS('Movimentações'!$E$2:$E$501,'Movimentações'!$B$2:$B$501,"Aporte objetivo",'Movimentações'!$G$2:$G$501,$A8),2))</x:f>
      </x:c>
      <x:c r="I8" s="52" t="str">
        <x:f>IF(A8="","",ROUND(SUMIFS('Movimentações'!$E$2:$E$501,'Movimentações'!$B$2:$B$501,"Retirada objetivo",'Movimentações'!$G$2:$G$501,$A8),2))</x:f>
      </x:c>
      <x:c r="J8" s="52" t="str">
        <x:f>IF(A8="","",ROUND(C8+H8-I8,2))</x:f>
      </x:c>
      <x:c r="K8" s="52" t="str">
        <x:f>IF(A8="","",MAX(0,ROUND(B8-J8,2)))</x:f>
      </x:c>
      <x:c r="L8" s="58" t="str">
        <x:f>IF(A8="","",IF(B8&gt;0,MIN(1,J8/B8),0))</x:f>
      </x:c>
      <x:c r="M8" s="20" t="str">
        <x:f>IF(A8="","",IF(K8&lt;=0,0,IF(E8&gt;0,ROUNDUP(K8/E8,0),"")))</x:f>
      </x:c>
      <x:c r="N8" s="52" t="str">
        <x:f>IF(OR(A8="",D8="",K8&lt;=0),"",ROUNDUP(K8/MAX(1,(YEAR(D8)-YEAR('Painel'!$B$3))*12+MONTH(D8)-MONTH('Painel'!$B$3)),2))</x:f>
      </x:c>
      <x:c r="O8" s="20" t="str">
        <x:f>IF(A8="","",IF(K8&lt;=0,"Atingida",IF(D8="","Sem prazo",IF(E8&gt;=N8,"Viável","Pode não caber"))))</x:f>
      </x:c>
    </x:row>
    <x:row r="9">
      <x:c r="A9" s="20"/>
      <x:c r="B9" s="52"/>
      <x:c r="C9" s="52"/>
      <x:c r="D9" s="50"/>
      <x:c r="E9" s="52"/>
      <x:c r="F9" s="20"/>
      <x:c r="G9" s="20"/>
      <x:c r="H9" s="52" t="str">
        <x:f>IF(A9="","",ROUND(SUMIFS('Movimentações'!$E$2:$E$501,'Movimentações'!$B$2:$B$501,"Aporte objetivo",'Movimentações'!$G$2:$G$501,$A9),2))</x:f>
      </x:c>
      <x:c r="I9" s="52" t="str">
        <x:f>IF(A9="","",ROUND(SUMIFS('Movimentações'!$E$2:$E$501,'Movimentações'!$B$2:$B$501,"Retirada objetivo",'Movimentações'!$G$2:$G$501,$A9),2))</x:f>
      </x:c>
      <x:c r="J9" s="52" t="str">
        <x:f>IF(A9="","",ROUND(C9+H9-I9,2))</x:f>
      </x:c>
      <x:c r="K9" s="52" t="str">
        <x:f>IF(A9="","",MAX(0,ROUND(B9-J9,2)))</x:f>
      </x:c>
      <x:c r="L9" s="58" t="str">
        <x:f>IF(A9="","",IF(B9&gt;0,MIN(1,J9/B9),0))</x:f>
      </x:c>
      <x:c r="M9" s="20" t="str">
        <x:f>IF(A9="","",IF(K9&lt;=0,0,IF(E9&gt;0,ROUNDUP(K9/E9,0),"")))</x:f>
      </x:c>
      <x:c r="N9" s="52" t="str">
        <x:f>IF(OR(A9="",D9="",K9&lt;=0),"",ROUNDUP(K9/MAX(1,(YEAR(D9)-YEAR('Painel'!$B$3))*12+MONTH(D9)-MONTH('Painel'!$B$3)),2))</x:f>
      </x:c>
      <x:c r="O9" s="20" t="str">
        <x:f>IF(A9="","",IF(K9&lt;=0,"Atingida",IF(D9="","Sem prazo",IF(E9&gt;=N9,"Viável","Pode não caber"))))</x:f>
      </x:c>
    </x:row>
    <x:row r="10">
      <x:c r="A10" s="20"/>
      <x:c r="B10" s="52"/>
      <x:c r="C10" s="52"/>
      <x:c r="D10" s="50"/>
      <x:c r="E10" s="52"/>
      <x:c r="F10" s="20"/>
      <x:c r="G10" s="20"/>
      <x:c r="H10" s="52" t="str">
        <x:f>IF(A10="","",ROUND(SUMIFS('Movimentações'!$E$2:$E$501,'Movimentações'!$B$2:$B$501,"Aporte objetivo",'Movimentações'!$G$2:$G$501,$A10),2))</x:f>
      </x:c>
      <x:c r="I10" s="52" t="str">
        <x:f>IF(A10="","",ROUND(SUMIFS('Movimentações'!$E$2:$E$501,'Movimentações'!$B$2:$B$501,"Retirada objetivo",'Movimentações'!$G$2:$G$501,$A10),2))</x:f>
      </x:c>
      <x:c r="J10" s="52" t="str">
        <x:f>IF(A10="","",ROUND(C10+H10-I10,2))</x:f>
      </x:c>
      <x:c r="K10" s="52" t="str">
        <x:f>IF(A10="","",MAX(0,ROUND(B10-J10,2)))</x:f>
      </x:c>
      <x:c r="L10" s="58" t="str">
        <x:f>IF(A10="","",IF(B10&gt;0,MIN(1,J10/B10),0))</x:f>
      </x:c>
      <x:c r="M10" s="20" t="str">
        <x:f>IF(A10="","",IF(K10&lt;=0,0,IF(E10&gt;0,ROUNDUP(K10/E10,0),"")))</x:f>
      </x:c>
      <x:c r="N10" s="52" t="str">
        <x:f>IF(OR(A10="",D10="",K10&lt;=0),"",ROUNDUP(K10/MAX(1,(YEAR(D10)-YEAR('Painel'!$B$3))*12+MONTH(D10)-MONTH('Painel'!$B$3)),2))</x:f>
      </x:c>
      <x:c r="O10" s="20" t="str">
        <x:f>IF(A10="","",IF(K10&lt;=0,"Atingida",IF(D10="","Sem prazo",IF(E10&gt;=N10,"Viável","Pode não caber"))))</x:f>
      </x:c>
    </x:row>
    <x:row r="11">
      <x:c r="A11" s="20"/>
      <x:c r="B11" s="52"/>
      <x:c r="C11" s="52"/>
      <x:c r="D11" s="50"/>
      <x:c r="E11" s="52"/>
      <x:c r="F11" s="20"/>
      <x:c r="G11" s="20"/>
      <x:c r="H11" s="52" t="str">
        <x:f>IF(A11="","",ROUND(SUMIFS('Movimentações'!$E$2:$E$501,'Movimentações'!$B$2:$B$501,"Aporte objetivo",'Movimentações'!$G$2:$G$501,$A11),2))</x:f>
      </x:c>
      <x:c r="I11" s="52" t="str">
        <x:f>IF(A11="","",ROUND(SUMIFS('Movimentações'!$E$2:$E$501,'Movimentações'!$B$2:$B$501,"Retirada objetivo",'Movimentações'!$G$2:$G$501,$A11),2))</x:f>
      </x:c>
      <x:c r="J11" s="52" t="str">
        <x:f>IF(A11="","",ROUND(C11+H11-I11,2))</x:f>
      </x:c>
      <x:c r="K11" s="52" t="str">
        <x:f>IF(A11="","",MAX(0,ROUND(B11-J11,2)))</x:f>
      </x:c>
      <x:c r="L11" s="58" t="str">
        <x:f>IF(A11="","",IF(B11&gt;0,MIN(1,J11/B11),0))</x:f>
      </x:c>
      <x:c r="M11" s="20" t="str">
        <x:f>IF(A11="","",IF(K11&lt;=0,0,IF(E11&gt;0,ROUNDUP(K11/E11,0),"")))</x:f>
      </x:c>
      <x:c r="N11" s="52" t="str">
        <x:f>IF(OR(A11="",D11="",K11&lt;=0),"",ROUNDUP(K11/MAX(1,(YEAR(D11)-YEAR('Painel'!$B$3))*12+MONTH(D11)-MONTH('Painel'!$B$3)),2))</x:f>
      </x:c>
      <x:c r="O11" s="20" t="str">
        <x:f>IF(A11="","",IF(K11&lt;=0,"Atingida",IF(D11="","Sem prazo",IF(E11&gt;=N11,"Viável","Pode não caber"))))</x:f>
      </x:c>
    </x:row>
    <x:row r="12">
      <x:c r="A12" s="20"/>
      <x:c r="B12" s="52"/>
      <x:c r="C12" s="52"/>
      <x:c r="D12" s="50"/>
      <x:c r="E12" s="52"/>
      <x:c r="F12" s="20"/>
      <x:c r="G12" s="20"/>
      <x:c r="H12" s="52" t="str">
        <x:f>IF(A12="","",ROUND(SUMIFS('Movimentações'!$E$2:$E$501,'Movimentações'!$B$2:$B$501,"Aporte objetivo",'Movimentações'!$G$2:$G$501,$A12),2))</x:f>
      </x:c>
      <x:c r="I12" s="52" t="str">
        <x:f>IF(A12="","",ROUND(SUMIFS('Movimentações'!$E$2:$E$501,'Movimentações'!$B$2:$B$501,"Retirada objetivo",'Movimentações'!$G$2:$G$501,$A12),2))</x:f>
      </x:c>
      <x:c r="J12" s="52" t="str">
        <x:f>IF(A12="","",ROUND(C12+H12-I12,2))</x:f>
      </x:c>
      <x:c r="K12" s="52" t="str">
        <x:f>IF(A12="","",MAX(0,ROUND(B12-J12,2)))</x:f>
      </x:c>
      <x:c r="L12" s="58" t="str">
        <x:f>IF(A12="","",IF(B12&gt;0,MIN(1,J12/B12),0))</x:f>
      </x:c>
      <x:c r="M12" s="20" t="str">
        <x:f>IF(A12="","",IF(K12&lt;=0,0,IF(E12&gt;0,ROUNDUP(K12/E12,0),"")))</x:f>
      </x:c>
      <x:c r="N12" s="52" t="str">
        <x:f>IF(OR(A12="",D12="",K12&lt;=0),"",ROUNDUP(K12/MAX(1,(YEAR(D12)-YEAR('Painel'!$B$3))*12+MONTH(D12)-MONTH('Painel'!$B$3)),2))</x:f>
      </x:c>
      <x:c r="O12" s="20" t="str">
        <x:f>IF(A12="","",IF(K12&lt;=0,"Atingida",IF(D12="","Sem prazo",IF(E12&gt;=N12,"Viável","Pode não caber"))))</x:f>
      </x:c>
    </x:row>
    <x:row r="13">
      <x:c r="A13" s="20"/>
      <x:c r="B13" s="52"/>
      <x:c r="C13" s="52"/>
      <x:c r="D13" s="50"/>
      <x:c r="E13" s="52"/>
      <x:c r="F13" s="20"/>
      <x:c r="G13" s="20"/>
      <x:c r="H13" s="52" t="str">
        <x:f>IF(A13="","",ROUND(SUMIFS('Movimentações'!$E$2:$E$501,'Movimentações'!$B$2:$B$501,"Aporte objetivo",'Movimentações'!$G$2:$G$501,$A13),2))</x:f>
      </x:c>
      <x:c r="I13" s="52" t="str">
        <x:f>IF(A13="","",ROUND(SUMIFS('Movimentações'!$E$2:$E$501,'Movimentações'!$B$2:$B$501,"Retirada objetivo",'Movimentações'!$G$2:$G$501,$A13),2))</x:f>
      </x:c>
      <x:c r="J13" s="52" t="str">
        <x:f>IF(A13="","",ROUND(C13+H13-I13,2))</x:f>
      </x:c>
      <x:c r="K13" s="52" t="str">
        <x:f>IF(A13="","",MAX(0,ROUND(B13-J13,2)))</x:f>
      </x:c>
      <x:c r="L13" s="58" t="str">
        <x:f>IF(A13="","",IF(B13&gt;0,MIN(1,J13/B13),0))</x:f>
      </x:c>
      <x:c r="M13" s="20" t="str">
        <x:f>IF(A13="","",IF(K13&lt;=0,0,IF(E13&gt;0,ROUNDUP(K13/E13,0),"")))</x:f>
      </x:c>
      <x:c r="N13" s="52" t="str">
        <x:f>IF(OR(A13="",D13="",K13&lt;=0),"",ROUNDUP(K13/MAX(1,(YEAR(D13)-YEAR('Painel'!$B$3))*12+MONTH(D13)-MONTH('Painel'!$B$3)),2))</x:f>
      </x:c>
      <x:c r="O13" s="20" t="str">
        <x:f>IF(A13="","",IF(K13&lt;=0,"Atingida",IF(D13="","Sem prazo",IF(E13&gt;=N13,"Viável","Pode não caber"))))</x:f>
      </x:c>
    </x:row>
    <x:row r="14">
      <x:c r="A14" s="20"/>
      <x:c r="B14" s="52"/>
      <x:c r="C14" s="52"/>
      <x:c r="D14" s="50"/>
      <x:c r="E14" s="52"/>
      <x:c r="F14" s="20"/>
      <x:c r="G14" s="20"/>
      <x:c r="H14" s="52" t="str">
        <x:f>IF(A14="","",ROUND(SUMIFS('Movimentações'!$E$2:$E$501,'Movimentações'!$B$2:$B$501,"Aporte objetivo",'Movimentações'!$G$2:$G$501,$A14),2))</x:f>
      </x:c>
      <x:c r="I14" s="52" t="str">
        <x:f>IF(A14="","",ROUND(SUMIFS('Movimentações'!$E$2:$E$501,'Movimentações'!$B$2:$B$501,"Retirada objetivo",'Movimentações'!$G$2:$G$501,$A14),2))</x:f>
      </x:c>
      <x:c r="J14" s="52" t="str">
        <x:f>IF(A14="","",ROUND(C14+H14-I14,2))</x:f>
      </x:c>
      <x:c r="K14" s="52" t="str">
        <x:f>IF(A14="","",MAX(0,ROUND(B14-J14,2)))</x:f>
      </x:c>
      <x:c r="L14" s="58" t="str">
        <x:f>IF(A14="","",IF(B14&gt;0,MIN(1,J14/B14),0))</x:f>
      </x:c>
      <x:c r="M14" s="20" t="str">
        <x:f>IF(A14="","",IF(K14&lt;=0,0,IF(E14&gt;0,ROUNDUP(K14/E14,0),"")))</x:f>
      </x:c>
      <x:c r="N14" s="52" t="str">
        <x:f>IF(OR(A14="",D14="",K14&lt;=0),"",ROUNDUP(K14/MAX(1,(YEAR(D14)-YEAR('Painel'!$B$3))*12+MONTH(D14)-MONTH('Painel'!$B$3)),2))</x:f>
      </x:c>
      <x:c r="O14" s="20" t="str">
        <x:f>IF(A14="","",IF(K14&lt;=0,"Atingida",IF(D14="","Sem prazo",IF(E14&gt;=N14,"Viável","Pode não caber"))))</x:f>
      </x:c>
    </x:row>
    <x:row r="15">
      <x:c r="A15" s="20"/>
      <x:c r="B15" s="52"/>
      <x:c r="C15" s="52"/>
      <x:c r="D15" s="50"/>
      <x:c r="E15" s="52"/>
      <x:c r="F15" s="20"/>
      <x:c r="G15" s="20"/>
      <x:c r="H15" s="52" t="str">
        <x:f>IF(A15="","",ROUND(SUMIFS('Movimentações'!$E$2:$E$501,'Movimentações'!$B$2:$B$501,"Aporte objetivo",'Movimentações'!$G$2:$G$501,$A15),2))</x:f>
      </x:c>
      <x:c r="I15" s="52" t="str">
        <x:f>IF(A15="","",ROUND(SUMIFS('Movimentações'!$E$2:$E$501,'Movimentações'!$B$2:$B$501,"Retirada objetivo",'Movimentações'!$G$2:$G$501,$A15),2))</x:f>
      </x:c>
      <x:c r="J15" s="52" t="str">
        <x:f>IF(A15="","",ROUND(C15+H15-I15,2))</x:f>
      </x:c>
      <x:c r="K15" s="52" t="str">
        <x:f>IF(A15="","",MAX(0,ROUND(B15-J15,2)))</x:f>
      </x:c>
      <x:c r="L15" s="58" t="str">
        <x:f>IF(A15="","",IF(B15&gt;0,MIN(1,J15/B15),0))</x:f>
      </x:c>
      <x:c r="M15" s="20" t="str">
        <x:f>IF(A15="","",IF(K15&lt;=0,0,IF(E15&gt;0,ROUNDUP(K15/E15,0),"")))</x:f>
      </x:c>
      <x:c r="N15" s="52" t="str">
        <x:f>IF(OR(A15="",D15="",K15&lt;=0),"",ROUNDUP(K15/MAX(1,(YEAR(D15)-YEAR('Painel'!$B$3))*12+MONTH(D15)-MONTH('Painel'!$B$3)),2))</x:f>
      </x:c>
      <x:c r="O15" s="20" t="str">
        <x:f>IF(A15="","",IF(K15&lt;=0,"Atingida",IF(D15="","Sem prazo",IF(E15&gt;=N15,"Viável","Pode não caber"))))</x:f>
      </x:c>
    </x:row>
    <x:row r="16">
      <x:c r="A16" s="20"/>
      <x:c r="B16" s="52"/>
      <x:c r="C16" s="52"/>
      <x:c r="D16" s="50"/>
      <x:c r="E16" s="52"/>
      <x:c r="F16" s="20"/>
      <x:c r="G16" s="20"/>
      <x:c r="H16" s="52" t="str">
        <x:f>IF(A16="","",ROUND(SUMIFS('Movimentações'!$E$2:$E$501,'Movimentações'!$B$2:$B$501,"Aporte objetivo",'Movimentações'!$G$2:$G$501,$A16),2))</x:f>
      </x:c>
      <x:c r="I16" s="52" t="str">
        <x:f>IF(A16="","",ROUND(SUMIFS('Movimentações'!$E$2:$E$501,'Movimentações'!$B$2:$B$501,"Retirada objetivo",'Movimentações'!$G$2:$G$501,$A16),2))</x:f>
      </x:c>
      <x:c r="J16" s="52" t="str">
        <x:f>IF(A16="","",ROUND(C16+H16-I16,2))</x:f>
      </x:c>
      <x:c r="K16" s="52" t="str">
        <x:f>IF(A16="","",MAX(0,ROUND(B16-J16,2)))</x:f>
      </x:c>
      <x:c r="L16" s="58" t="str">
        <x:f>IF(A16="","",IF(B16&gt;0,MIN(1,J16/B16),0))</x:f>
      </x:c>
      <x:c r="M16" s="20" t="str">
        <x:f>IF(A16="","",IF(K16&lt;=0,0,IF(E16&gt;0,ROUNDUP(K16/E16,0),"")))</x:f>
      </x:c>
      <x:c r="N16" s="52" t="str">
        <x:f>IF(OR(A16="",D16="",K16&lt;=0),"",ROUNDUP(K16/MAX(1,(YEAR(D16)-YEAR('Painel'!$B$3))*12+MONTH(D16)-MONTH('Painel'!$B$3)),2))</x:f>
      </x:c>
      <x:c r="O16" s="20" t="str">
        <x:f>IF(A16="","",IF(K16&lt;=0,"Atingida",IF(D16="","Sem prazo",IF(E16&gt;=N16,"Viável","Pode não caber"))))</x:f>
      </x:c>
    </x:row>
    <x:row r="17">
      <x:c r="A17" s="20"/>
      <x:c r="B17" s="52"/>
      <x:c r="C17" s="52"/>
      <x:c r="D17" s="50"/>
      <x:c r="E17" s="52"/>
      <x:c r="F17" s="20"/>
      <x:c r="G17" s="20"/>
      <x:c r="H17" s="52" t="str">
        <x:f>IF(A17="","",ROUND(SUMIFS('Movimentações'!$E$2:$E$501,'Movimentações'!$B$2:$B$501,"Aporte objetivo",'Movimentações'!$G$2:$G$501,$A17),2))</x:f>
      </x:c>
      <x:c r="I17" s="52" t="str">
        <x:f>IF(A17="","",ROUND(SUMIFS('Movimentações'!$E$2:$E$501,'Movimentações'!$B$2:$B$501,"Retirada objetivo",'Movimentações'!$G$2:$G$501,$A17),2))</x:f>
      </x:c>
      <x:c r="J17" s="52" t="str">
        <x:f>IF(A17="","",ROUND(C17+H17-I17,2))</x:f>
      </x:c>
      <x:c r="K17" s="52" t="str">
        <x:f>IF(A17="","",MAX(0,ROUND(B17-J17,2)))</x:f>
      </x:c>
      <x:c r="L17" s="58" t="str">
        <x:f>IF(A17="","",IF(B17&gt;0,MIN(1,J17/B17),0))</x:f>
      </x:c>
      <x:c r="M17" s="20" t="str">
        <x:f>IF(A17="","",IF(K17&lt;=0,0,IF(E17&gt;0,ROUNDUP(K17/E17,0),"")))</x:f>
      </x:c>
      <x:c r="N17" s="52" t="str">
        <x:f>IF(OR(A17="",D17="",K17&lt;=0),"",ROUNDUP(K17/MAX(1,(YEAR(D17)-YEAR('Painel'!$B$3))*12+MONTH(D17)-MONTH('Painel'!$B$3)),2))</x:f>
      </x:c>
      <x:c r="O17" s="20" t="str">
        <x:f>IF(A17="","",IF(K17&lt;=0,"Atingida",IF(D17="","Sem prazo",IF(E17&gt;=N17,"Viável","Pode não caber"))))</x:f>
      </x:c>
    </x:row>
    <x:row r="18">
      <x:c r="A18" s="20"/>
      <x:c r="B18" s="52"/>
      <x:c r="C18" s="52"/>
      <x:c r="D18" s="50"/>
      <x:c r="E18" s="52"/>
      <x:c r="F18" s="20"/>
      <x:c r="G18" s="20"/>
      <x:c r="H18" s="52" t="str">
        <x:f>IF(A18="","",ROUND(SUMIFS('Movimentações'!$E$2:$E$501,'Movimentações'!$B$2:$B$501,"Aporte objetivo",'Movimentações'!$G$2:$G$501,$A18),2))</x:f>
      </x:c>
      <x:c r="I18" s="52" t="str">
        <x:f>IF(A18="","",ROUND(SUMIFS('Movimentações'!$E$2:$E$501,'Movimentações'!$B$2:$B$501,"Retirada objetivo",'Movimentações'!$G$2:$G$501,$A18),2))</x:f>
      </x:c>
      <x:c r="J18" s="52" t="str">
        <x:f>IF(A18="","",ROUND(C18+H18-I18,2))</x:f>
      </x:c>
      <x:c r="K18" s="52" t="str">
        <x:f>IF(A18="","",MAX(0,ROUND(B18-J18,2)))</x:f>
      </x:c>
      <x:c r="L18" s="58" t="str">
        <x:f>IF(A18="","",IF(B18&gt;0,MIN(1,J18/B18),0))</x:f>
      </x:c>
      <x:c r="M18" s="20" t="str">
        <x:f>IF(A18="","",IF(K18&lt;=0,0,IF(E18&gt;0,ROUNDUP(K18/E18,0),"")))</x:f>
      </x:c>
      <x:c r="N18" s="52" t="str">
        <x:f>IF(OR(A18="",D18="",K18&lt;=0),"",ROUNDUP(K18/MAX(1,(YEAR(D18)-YEAR('Painel'!$B$3))*12+MONTH(D18)-MONTH('Painel'!$B$3)),2))</x:f>
      </x:c>
      <x:c r="O18" s="20" t="str">
        <x:f>IF(A18="","",IF(K18&lt;=0,"Atingida",IF(D18="","Sem prazo",IF(E18&gt;=N18,"Viável","Pode não caber"))))</x:f>
      </x:c>
    </x:row>
    <x:row r="19">
      <x:c r="A19" s="20"/>
      <x:c r="B19" s="52"/>
      <x:c r="C19" s="52"/>
      <x:c r="D19" s="50"/>
      <x:c r="E19" s="52"/>
      <x:c r="F19" s="20"/>
      <x:c r="G19" s="20"/>
      <x:c r="H19" s="52" t="str">
        <x:f>IF(A19="","",ROUND(SUMIFS('Movimentações'!$E$2:$E$501,'Movimentações'!$B$2:$B$501,"Aporte objetivo",'Movimentações'!$G$2:$G$501,$A19),2))</x:f>
      </x:c>
      <x:c r="I19" s="52" t="str">
        <x:f>IF(A19="","",ROUND(SUMIFS('Movimentações'!$E$2:$E$501,'Movimentações'!$B$2:$B$501,"Retirada objetivo",'Movimentações'!$G$2:$G$501,$A19),2))</x:f>
      </x:c>
      <x:c r="J19" s="52" t="str">
        <x:f>IF(A19="","",ROUND(C19+H19-I19,2))</x:f>
      </x:c>
      <x:c r="K19" s="52" t="str">
        <x:f>IF(A19="","",MAX(0,ROUND(B19-J19,2)))</x:f>
      </x:c>
      <x:c r="L19" s="58" t="str">
        <x:f>IF(A19="","",IF(B19&gt;0,MIN(1,J19/B19),0))</x:f>
      </x:c>
      <x:c r="M19" s="20" t="str">
        <x:f>IF(A19="","",IF(K19&lt;=0,0,IF(E19&gt;0,ROUNDUP(K19/E19,0),"")))</x:f>
      </x:c>
      <x:c r="N19" s="52" t="str">
        <x:f>IF(OR(A19="",D19="",K19&lt;=0),"",ROUNDUP(K19/MAX(1,(YEAR(D19)-YEAR('Painel'!$B$3))*12+MONTH(D19)-MONTH('Painel'!$B$3)),2))</x:f>
      </x:c>
      <x:c r="O19" s="20" t="str">
        <x:f>IF(A19="","",IF(K19&lt;=0,"Atingida",IF(D19="","Sem prazo",IF(E19&gt;=N19,"Viável","Pode não caber"))))</x:f>
      </x:c>
    </x:row>
    <x:row r="20">
      <x:c r="A20" s="20"/>
      <x:c r="B20" s="52"/>
      <x:c r="C20" s="52"/>
      <x:c r="D20" s="50"/>
      <x:c r="E20" s="52"/>
      <x:c r="F20" s="20"/>
      <x:c r="G20" s="20"/>
      <x:c r="H20" s="52" t="str">
        <x:f>IF(A20="","",ROUND(SUMIFS('Movimentações'!$E$2:$E$501,'Movimentações'!$B$2:$B$501,"Aporte objetivo",'Movimentações'!$G$2:$G$501,$A20),2))</x:f>
      </x:c>
      <x:c r="I20" s="52" t="str">
        <x:f>IF(A20="","",ROUND(SUMIFS('Movimentações'!$E$2:$E$501,'Movimentações'!$B$2:$B$501,"Retirada objetivo",'Movimentações'!$G$2:$G$501,$A20),2))</x:f>
      </x:c>
      <x:c r="J20" s="52" t="str">
        <x:f>IF(A20="","",ROUND(C20+H20-I20,2))</x:f>
      </x:c>
      <x:c r="K20" s="52" t="str">
        <x:f>IF(A20="","",MAX(0,ROUND(B20-J20,2)))</x:f>
      </x:c>
      <x:c r="L20" s="58" t="str">
        <x:f>IF(A20="","",IF(B20&gt;0,MIN(1,J20/B20),0))</x:f>
      </x:c>
      <x:c r="M20" s="20" t="str">
        <x:f>IF(A20="","",IF(K20&lt;=0,0,IF(E20&gt;0,ROUNDUP(K20/E20,0),"")))</x:f>
      </x:c>
      <x:c r="N20" s="52" t="str">
        <x:f>IF(OR(A20="",D20="",K20&lt;=0),"",ROUNDUP(K20/MAX(1,(YEAR(D20)-YEAR('Painel'!$B$3))*12+MONTH(D20)-MONTH('Painel'!$B$3)),2))</x:f>
      </x:c>
      <x:c r="O20" s="20" t="str">
        <x:f>IF(A20="","",IF(K20&lt;=0,"Atingida",IF(D20="","Sem prazo",IF(E20&gt;=N20,"Viável","Pode não caber"))))</x:f>
      </x:c>
    </x:row>
    <x:row r="21">
      <x:c r="A21" s="20"/>
      <x:c r="B21" s="52"/>
      <x:c r="C21" s="52"/>
      <x:c r="D21" s="50"/>
      <x:c r="E21" s="52"/>
      <x:c r="F21" s="20"/>
      <x:c r="G21" s="20"/>
      <x:c r="H21" s="52" t="str">
        <x:f>IF(A21="","",ROUND(SUMIFS('Movimentações'!$E$2:$E$501,'Movimentações'!$B$2:$B$501,"Aporte objetivo",'Movimentações'!$G$2:$G$501,$A21),2))</x:f>
      </x:c>
      <x:c r="I21" s="52" t="str">
        <x:f>IF(A21="","",ROUND(SUMIFS('Movimentações'!$E$2:$E$501,'Movimentações'!$B$2:$B$501,"Retirada objetivo",'Movimentações'!$G$2:$G$501,$A21),2))</x:f>
      </x:c>
      <x:c r="J21" s="52" t="str">
        <x:f>IF(A21="","",ROUND(C21+H21-I21,2))</x:f>
      </x:c>
      <x:c r="K21" s="52" t="str">
        <x:f>IF(A21="","",MAX(0,ROUND(B21-J21,2)))</x:f>
      </x:c>
      <x:c r="L21" s="58" t="str">
        <x:f>IF(A21="","",IF(B21&gt;0,MIN(1,J21/B21),0))</x:f>
      </x:c>
      <x:c r="M21" s="20" t="str">
        <x:f>IF(A21="","",IF(K21&lt;=0,0,IF(E21&gt;0,ROUNDUP(K21/E21,0),"")))</x:f>
      </x:c>
      <x:c r="N21" s="52" t="str">
        <x:f>IF(OR(A21="",D21="",K21&lt;=0),"",ROUNDUP(K21/MAX(1,(YEAR(D21)-YEAR('Painel'!$B$3))*12+MONTH(D21)-MONTH('Painel'!$B$3)),2))</x:f>
      </x:c>
      <x:c r="O21" s="20" t="str">
        <x:f>IF(A21="","",IF(K21&lt;=0,"Atingida",IF(D21="","Sem prazo",IF(E21&gt;=N21,"Viável","Pode não caber"))))</x:f>
      </x:c>
    </x:row>
    <x:row r="22">
      <x:c r="A22" s="20"/>
      <x:c r="B22" s="52"/>
      <x:c r="C22" s="52"/>
      <x:c r="D22" s="50"/>
      <x:c r="E22" s="52"/>
      <x:c r="F22" s="20"/>
      <x:c r="G22" s="20"/>
      <x:c r="H22" s="52" t="str">
        <x:f>IF(A22="","",ROUND(SUMIFS('Movimentações'!$E$2:$E$501,'Movimentações'!$B$2:$B$501,"Aporte objetivo",'Movimentações'!$G$2:$G$501,$A22),2))</x:f>
      </x:c>
      <x:c r="I22" s="52" t="str">
        <x:f>IF(A22="","",ROUND(SUMIFS('Movimentações'!$E$2:$E$501,'Movimentações'!$B$2:$B$501,"Retirada objetivo",'Movimentações'!$G$2:$G$501,$A22),2))</x:f>
      </x:c>
      <x:c r="J22" s="52" t="str">
        <x:f>IF(A22="","",ROUND(C22+H22-I22,2))</x:f>
      </x:c>
      <x:c r="K22" s="52" t="str">
        <x:f>IF(A22="","",MAX(0,ROUND(B22-J22,2)))</x:f>
      </x:c>
      <x:c r="L22" s="58" t="str">
        <x:f>IF(A22="","",IF(B22&gt;0,MIN(1,J22/B22),0))</x:f>
      </x:c>
      <x:c r="M22" s="20" t="str">
        <x:f>IF(A22="","",IF(K22&lt;=0,0,IF(E22&gt;0,ROUNDUP(K22/E22,0),"")))</x:f>
      </x:c>
      <x:c r="N22" s="52" t="str">
        <x:f>IF(OR(A22="",D22="",K22&lt;=0),"",ROUNDUP(K22/MAX(1,(YEAR(D22)-YEAR('Painel'!$B$3))*12+MONTH(D22)-MONTH('Painel'!$B$3)),2))</x:f>
      </x:c>
      <x:c r="O22" s="20" t="str">
        <x:f>IF(A22="","",IF(K22&lt;=0,"Atingida",IF(D22="","Sem prazo",IF(E22&gt;=N22,"Viável","Pode não caber"))))</x:f>
      </x:c>
    </x:row>
    <x:row r="23">
      <x:c r="A23" s="20"/>
      <x:c r="B23" s="52"/>
      <x:c r="C23" s="52"/>
      <x:c r="D23" s="50"/>
      <x:c r="E23" s="52"/>
      <x:c r="F23" s="20"/>
      <x:c r="G23" s="20"/>
      <x:c r="H23" s="52" t="str">
        <x:f>IF(A23="","",ROUND(SUMIFS('Movimentações'!$E$2:$E$501,'Movimentações'!$B$2:$B$501,"Aporte objetivo",'Movimentações'!$G$2:$G$501,$A23),2))</x:f>
      </x:c>
      <x:c r="I23" s="52" t="str">
        <x:f>IF(A23="","",ROUND(SUMIFS('Movimentações'!$E$2:$E$501,'Movimentações'!$B$2:$B$501,"Retirada objetivo",'Movimentações'!$G$2:$G$501,$A23),2))</x:f>
      </x:c>
      <x:c r="J23" s="52" t="str">
        <x:f>IF(A23="","",ROUND(C23+H23-I23,2))</x:f>
      </x:c>
      <x:c r="K23" s="52" t="str">
        <x:f>IF(A23="","",MAX(0,ROUND(B23-J23,2)))</x:f>
      </x:c>
      <x:c r="L23" s="58" t="str">
        <x:f>IF(A23="","",IF(B23&gt;0,MIN(1,J23/B23),0))</x:f>
      </x:c>
      <x:c r="M23" s="20" t="str">
        <x:f>IF(A23="","",IF(K23&lt;=0,0,IF(E23&gt;0,ROUNDUP(K23/E23,0),"")))</x:f>
      </x:c>
      <x:c r="N23" s="52" t="str">
        <x:f>IF(OR(A23="",D23="",K23&lt;=0),"",ROUNDUP(K23/MAX(1,(YEAR(D23)-YEAR('Painel'!$B$3))*12+MONTH(D23)-MONTH('Painel'!$B$3)),2))</x:f>
      </x:c>
      <x:c r="O23" s="20" t="str">
        <x:f>IF(A23="","",IF(K23&lt;=0,"Atingida",IF(D23="","Sem prazo",IF(E23&gt;=N23,"Viável","Pode não caber"))))</x:f>
      </x:c>
    </x:row>
    <x:row r="24">
      <x:c r="A24" s="20"/>
      <x:c r="B24" s="52"/>
      <x:c r="C24" s="52"/>
      <x:c r="D24" s="50"/>
      <x:c r="E24" s="52"/>
      <x:c r="F24" s="20"/>
      <x:c r="G24" s="20"/>
      <x:c r="H24" s="52" t="str">
        <x:f>IF(A24="","",ROUND(SUMIFS('Movimentações'!$E$2:$E$501,'Movimentações'!$B$2:$B$501,"Aporte objetivo",'Movimentações'!$G$2:$G$501,$A24),2))</x:f>
      </x:c>
      <x:c r="I24" s="52" t="str">
        <x:f>IF(A24="","",ROUND(SUMIFS('Movimentações'!$E$2:$E$501,'Movimentações'!$B$2:$B$501,"Retirada objetivo",'Movimentações'!$G$2:$G$501,$A24),2))</x:f>
      </x:c>
      <x:c r="J24" s="52" t="str">
        <x:f>IF(A24="","",ROUND(C24+H24-I24,2))</x:f>
      </x:c>
      <x:c r="K24" s="52" t="str">
        <x:f>IF(A24="","",MAX(0,ROUND(B24-J24,2)))</x:f>
      </x:c>
      <x:c r="L24" s="58" t="str">
        <x:f>IF(A24="","",IF(B24&gt;0,MIN(1,J24/B24),0))</x:f>
      </x:c>
      <x:c r="M24" s="20" t="str">
        <x:f>IF(A24="","",IF(K24&lt;=0,0,IF(E24&gt;0,ROUNDUP(K24/E24,0),"")))</x:f>
      </x:c>
      <x:c r="N24" s="52" t="str">
        <x:f>IF(OR(A24="",D24="",K24&lt;=0),"",ROUNDUP(K24/MAX(1,(YEAR(D24)-YEAR('Painel'!$B$3))*12+MONTH(D24)-MONTH('Painel'!$B$3)),2))</x:f>
      </x:c>
      <x:c r="O24" s="20" t="str">
        <x:f>IF(A24="","",IF(K24&lt;=0,"Atingida",IF(D24="","Sem prazo",IF(E24&gt;=N24,"Viável","Pode não caber"))))</x:f>
      </x:c>
    </x:row>
    <x:row r="25">
      <x:c r="A25" s="20"/>
      <x:c r="B25" s="52"/>
      <x:c r="C25" s="52"/>
      <x:c r="D25" s="50"/>
      <x:c r="E25" s="52"/>
      <x:c r="F25" s="20"/>
      <x:c r="G25" s="20"/>
      <x:c r="H25" s="52" t="str">
        <x:f>IF(A25="","",ROUND(SUMIFS('Movimentações'!$E$2:$E$501,'Movimentações'!$B$2:$B$501,"Aporte objetivo",'Movimentações'!$G$2:$G$501,$A25),2))</x:f>
      </x:c>
      <x:c r="I25" s="52" t="str">
        <x:f>IF(A25="","",ROUND(SUMIFS('Movimentações'!$E$2:$E$501,'Movimentações'!$B$2:$B$501,"Retirada objetivo",'Movimentações'!$G$2:$G$501,$A25),2))</x:f>
      </x:c>
      <x:c r="J25" s="52" t="str">
        <x:f>IF(A25="","",ROUND(C25+H25-I25,2))</x:f>
      </x:c>
      <x:c r="K25" s="52" t="str">
        <x:f>IF(A25="","",MAX(0,ROUND(B25-J25,2)))</x:f>
      </x:c>
      <x:c r="L25" s="58" t="str">
        <x:f>IF(A25="","",IF(B25&gt;0,MIN(1,J25/B25),0))</x:f>
      </x:c>
      <x:c r="M25" s="20" t="str">
        <x:f>IF(A25="","",IF(K25&lt;=0,0,IF(E25&gt;0,ROUNDUP(K25/E25,0),"")))</x:f>
      </x:c>
      <x:c r="N25" s="52" t="str">
        <x:f>IF(OR(A25="",D25="",K25&lt;=0),"",ROUNDUP(K25/MAX(1,(YEAR(D25)-YEAR('Painel'!$B$3))*12+MONTH(D25)-MONTH('Painel'!$B$3)),2))</x:f>
      </x:c>
      <x:c r="O25" s="20" t="str">
        <x:f>IF(A25="","",IF(K25&lt;=0,"Atingida",IF(D25="","Sem prazo",IF(E25&gt;=N25,"Viável","Pode não caber"))))</x:f>
      </x:c>
    </x:row>
    <x:row r="26">
      <x:c r="A26" s="20"/>
      <x:c r="B26" s="52"/>
      <x:c r="C26" s="52"/>
      <x:c r="D26" s="50"/>
      <x:c r="E26" s="52"/>
      <x:c r="F26" s="20"/>
      <x:c r="G26" s="20"/>
      <x:c r="H26" s="52" t="str">
        <x:f>IF(A26="","",ROUND(SUMIFS('Movimentações'!$E$2:$E$501,'Movimentações'!$B$2:$B$501,"Aporte objetivo",'Movimentações'!$G$2:$G$501,$A26),2))</x:f>
      </x:c>
      <x:c r="I26" s="52" t="str">
        <x:f>IF(A26="","",ROUND(SUMIFS('Movimentações'!$E$2:$E$501,'Movimentações'!$B$2:$B$501,"Retirada objetivo",'Movimentações'!$G$2:$G$501,$A26),2))</x:f>
      </x:c>
      <x:c r="J26" s="52" t="str">
        <x:f>IF(A26="","",ROUND(C26+H26-I26,2))</x:f>
      </x:c>
      <x:c r="K26" s="52" t="str">
        <x:f>IF(A26="","",MAX(0,ROUND(B26-J26,2)))</x:f>
      </x:c>
      <x:c r="L26" s="58" t="str">
        <x:f>IF(A26="","",IF(B26&gt;0,MIN(1,J26/B26),0))</x:f>
      </x:c>
      <x:c r="M26" s="20" t="str">
        <x:f>IF(A26="","",IF(K26&lt;=0,0,IF(E26&gt;0,ROUNDUP(K26/E26,0),"")))</x:f>
      </x:c>
      <x:c r="N26" s="52" t="str">
        <x:f>IF(OR(A26="",D26="",K26&lt;=0),"",ROUNDUP(K26/MAX(1,(YEAR(D26)-YEAR('Painel'!$B$3))*12+MONTH(D26)-MONTH('Painel'!$B$3)),2))</x:f>
      </x:c>
      <x:c r="O26" s="20" t="str">
        <x:f>IF(A26="","",IF(K26&lt;=0,"Atingida",IF(D26="","Sem prazo",IF(E26&gt;=N26,"Viável","Pode não caber"))))</x:f>
      </x:c>
    </x:row>
    <x:row r="27">
      <x:c r="A27" s="20"/>
      <x:c r="B27" s="52"/>
      <x:c r="C27" s="52"/>
      <x:c r="D27" s="50"/>
      <x:c r="E27" s="52"/>
      <x:c r="F27" s="20"/>
      <x:c r="G27" s="20"/>
      <x:c r="H27" s="52" t="str">
        <x:f>IF(A27="","",ROUND(SUMIFS('Movimentações'!$E$2:$E$501,'Movimentações'!$B$2:$B$501,"Aporte objetivo",'Movimentações'!$G$2:$G$501,$A27),2))</x:f>
      </x:c>
      <x:c r="I27" s="52" t="str">
        <x:f>IF(A27="","",ROUND(SUMIFS('Movimentações'!$E$2:$E$501,'Movimentações'!$B$2:$B$501,"Retirada objetivo",'Movimentações'!$G$2:$G$501,$A27),2))</x:f>
      </x:c>
      <x:c r="J27" s="52" t="str">
        <x:f>IF(A27="","",ROUND(C27+H27-I27,2))</x:f>
      </x:c>
      <x:c r="K27" s="52" t="str">
        <x:f>IF(A27="","",MAX(0,ROUND(B27-J27,2)))</x:f>
      </x:c>
      <x:c r="L27" s="58" t="str">
        <x:f>IF(A27="","",IF(B27&gt;0,MIN(1,J27/B27),0))</x:f>
      </x:c>
      <x:c r="M27" s="20" t="str">
        <x:f>IF(A27="","",IF(K27&lt;=0,0,IF(E27&gt;0,ROUNDUP(K27/E27,0),"")))</x:f>
      </x:c>
      <x:c r="N27" s="52" t="str">
        <x:f>IF(OR(A27="",D27="",K27&lt;=0),"",ROUNDUP(K27/MAX(1,(YEAR(D27)-YEAR('Painel'!$B$3))*12+MONTH(D27)-MONTH('Painel'!$B$3)),2))</x:f>
      </x:c>
      <x:c r="O27" s="20" t="str">
        <x:f>IF(A27="","",IF(K27&lt;=0,"Atingida",IF(D27="","Sem prazo",IF(E27&gt;=N27,"Viável","Pode não caber"))))</x:f>
      </x:c>
    </x:row>
    <x:row r="28">
      <x:c r="A28" s="20"/>
      <x:c r="B28" s="52"/>
      <x:c r="C28" s="52"/>
      <x:c r="D28" s="50"/>
      <x:c r="E28" s="52"/>
      <x:c r="F28" s="20"/>
      <x:c r="G28" s="20"/>
      <x:c r="H28" s="52" t="str">
        <x:f>IF(A28="","",ROUND(SUMIFS('Movimentações'!$E$2:$E$501,'Movimentações'!$B$2:$B$501,"Aporte objetivo",'Movimentações'!$G$2:$G$501,$A28),2))</x:f>
      </x:c>
      <x:c r="I28" s="52" t="str">
        <x:f>IF(A28="","",ROUND(SUMIFS('Movimentações'!$E$2:$E$501,'Movimentações'!$B$2:$B$501,"Retirada objetivo",'Movimentações'!$G$2:$G$501,$A28),2))</x:f>
      </x:c>
      <x:c r="J28" s="52" t="str">
        <x:f>IF(A28="","",ROUND(C28+H28-I28,2))</x:f>
      </x:c>
      <x:c r="K28" s="52" t="str">
        <x:f>IF(A28="","",MAX(0,ROUND(B28-J28,2)))</x:f>
      </x:c>
      <x:c r="L28" s="58" t="str">
        <x:f>IF(A28="","",IF(B28&gt;0,MIN(1,J28/B28),0))</x:f>
      </x:c>
      <x:c r="M28" s="20" t="str">
        <x:f>IF(A28="","",IF(K28&lt;=0,0,IF(E28&gt;0,ROUNDUP(K28/E28,0),"")))</x:f>
      </x:c>
      <x:c r="N28" s="52" t="str">
        <x:f>IF(OR(A28="",D28="",K28&lt;=0),"",ROUNDUP(K28/MAX(1,(YEAR(D28)-YEAR('Painel'!$B$3))*12+MONTH(D28)-MONTH('Painel'!$B$3)),2))</x:f>
      </x:c>
      <x:c r="O28" s="20" t="str">
        <x:f>IF(A28="","",IF(K28&lt;=0,"Atingida",IF(D28="","Sem prazo",IF(E28&gt;=N28,"Viável","Pode não caber"))))</x:f>
      </x:c>
    </x:row>
    <x:row r="29">
      <x:c r="A29" s="20"/>
      <x:c r="B29" s="52"/>
      <x:c r="C29" s="52"/>
      <x:c r="D29" s="50"/>
      <x:c r="E29" s="52"/>
      <x:c r="F29" s="20"/>
      <x:c r="G29" s="20"/>
      <x:c r="H29" s="52" t="str">
        <x:f>IF(A29="","",ROUND(SUMIFS('Movimentações'!$E$2:$E$501,'Movimentações'!$B$2:$B$501,"Aporte objetivo",'Movimentações'!$G$2:$G$501,$A29),2))</x:f>
      </x:c>
      <x:c r="I29" s="52" t="str">
        <x:f>IF(A29="","",ROUND(SUMIFS('Movimentações'!$E$2:$E$501,'Movimentações'!$B$2:$B$501,"Retirada objetivo",'Movimentações'!$G$2:$G$501,$A29),2))</x:f>
      </x:c>
      <x:c r="J29" s="52" t="str">
        <x:f>IF(A29="","",ROUND(C29+H29-I29,2))</x:f>
      </x:c>
      <x:c r="K29" s="52" t="str">
        <x:f>IF(A29="","",MAX(0,ROUND(B29-J29,2)))</x:f>
      </x:c>
      <x:c r="L29" s="58" t="str">
        <x:f>IF(A29="","",IF(B29&gt;0,MIN(1,J29/B29),0))</x:f>
      </x:c>
      <x:c r="M29" s="20" t="str">
        <x:f>IF(A29="","",IF(K29&lt;=0,0,IF(E29&gt;0,ROUNDUP(K29/E29,0),"")))</x:f>
      </x:c>
      <x:c r="N29" s="52" t="str">
        <x:f>IF(OR(A29="",D29="",K29&lt;=0),"",ROUNDUP(K29/MAX(1,(YEAR(D29)-YEAR('Painel'!$B$3))*12+MONTH(D29)-MONTH('Painel'!$B$3)),2))</x:f>
      </x:c>
      <x:c r="O29" s="20" t="str">
        <x:f>IF(A29="","",IF(K29&lt;=0,"Atingida",IF(D29="","Sem prazo",IF(E29&gt;=N29,"Viável","Pode não caber"))))</x:f>
      </x:c>
    </x:row>
    <x:row r="30">
      <x:c r="A30" s="20"/>
      <x:c r="B30" s="52"/>
      <x:c r="C30" s="52"/>
      <x:c r="D30" s="50"/>
      <x:c r="E30" s="52"/>
      <x:c r="F30" s="20"/>
      <x:c r="G30" s="20"/>
      <x:c r="H30" s="52" t="str">
        <x:f>IF(A30="","",ROUND(SUMIFS('Movimentações'!$E$2:$E$501,'Movimentações'!$B$2:$B$501,"Aporte objetivo",'Movimentações'!$G$2:$G$501,$A30),2))</x:f>
      </x:c>
      <x:c r="I30" s="52" t="str">
        <x:f>IF(A30="","",ROUND(SUMIFS('Movimentações'!$E$2:$E$501,'Movimentações'!$B$2:$B$501,"Retirada objetivo",'Movimentações'!$G$2:$G$501,$A30),2))</x:f>
      </x:c>
      <x:c r="J30" s="52" t="str">
        <x:f>IF(A30="","",ROUND(C30+H30-I30,2))</x:f>
      </x:c>
      <x:c r="K30" s="52" t="str">
        <x:f>IF(A30="","",MAX(0,ROUND(B30-J30,2)))</x:f>
      </x:c>
      <x:c r="L30" s="58" t="str">
        <x:f>IF(A30="","",IF(B30&gt;0,MIN(1,J30/B30),0))</x:f>
      </x:c>
      <x:c r="M30" s="20" t="str">
        <x:f>IF(A30="","",IF(K30&lt;=0,0,IF(E30&gt;0,ROUNDUP(K30/E30,0),"")))</x:f>
      </x:c>
      <x:c r="N30" s="52" t="str">
        <x:f>IF(OR(A30="",D30="",K30&lt;=0),"",ROUNDUP(K30/MAX(1,(YEAR(D30)-YEAR('Painel'!$B$3))*12+MONTH(D30)-MONTH('Painel'!$B$3)),2))</x:f>
      </x:c>
      <x:c r="O30" s="20" t="str">
        <x:f>IF(A30="","",IF(K30&lt;=0,"Atingida",IF(D30="","Sem prazo",IF(E30&gt;=N30,"Viável","Pode não caber"))))</x:f>
      </x:c>
    </x:row>
    <x:row r="31">
      <x:c r="A31" s="20"/>
      <x:c r="B31" s="52"/>
      <x:c r="C31" s="52"/>
      <x:c r="D31" s="50"/>
      <x:c r="E31" s="52"/>
      <x:c r="F31" s="20"/>
      <x:c r="G31" s="20"/>
      <x:c r="H31" s="52" t="str">
        <x:f>IF(A31="","",ROUND(SUMIFS('Movimentações'!$E$2:$E$501,'Movimentações'!$B$2:$B$501,"Aporte objetivo",'Movimentações'!$G$2:$G$501,$A31),2))</x:f>
      </x:c>
      <x:c r="I31" s="52" t="str">
        <x:f>IF(A31="","",ROUND(SUMIFS('Movimentações'!$E$2:$E$501,'Movimentações'!$B$2:$B$501,"Retirada objetivo",'Movimentações'!$G$2:$G$501,$A31),2))</x:f>
      </x:c>
      <x:c r="J31" s="52" t="str">
        <x:f>IF(A31="","",ROUND(C31+H31-I31,2))</x:f>
      </x:c>
      <x:c r="K31" s="52" t="str">
        <x:f>IF(A31="","",MAX(0,ROUND(B31-J31,2)))</x:f>
      </x:c>
      <x:c r="L31" s="58" t="str">
        <x:f>IF(A31="","",IF(B31&gt;0,MIN(1,J31/B31),0))</x:f>
      </x:c>
      <x:c r="M31" s="20" t="str">
        <x:f>IF(A31="","",IF(K31&lt;=0,0,IF(E31&gt;0,ROUNDUP(K31/E31,0),"")))</x:f>
      </x:c>
      <x:c r="N31" s="52" t="str">
        <x:f>IF(OR(A31="",D31="",K31&lt;=0),"",ROUNDUP(K31/MAX(1,(YEAR(D31)-YEAR('Painel'!$B$3))*12+MONTH(D31)-MONTH('Painel'!$B$3)),2))</x:f>
      </x:c>
      <x:c r="O31" s="20" t="str">
        <x:f>IF(A31="","",IF(K31&lt;=0,"Atingida",IF(D31="","Sem prazo",IF(E31&gt;=N31,"Viável","Pode não caber"))))</x:f>
      </x:c>
    </x:row>
    <x:row r="32">
      <x:c r="A32" s="20"/>
      <x:c r="B32" s="52"/>
      <x:c r="C32" s="52"/>
      <x:c r="D32" s="50"/>
      <x:c r="E32" s="52"/>
      <x:c r="F32" s="20"/>
      <x:c r="G32" s="20"/>
      <x:c r="H32" s="52" t="str">
        <x:f>IF(A32="","",ROUND(SUMIFS('Movimentações'!$E$2:$E$501,'Movimentações'!$B$2:$B$501,"Aporte objetivo",'Movimentações'!$G$2:$G$501,$A32),2))</x:f>
      </x:c>
      <x:c r="I32" s="52" t="str">
        <x:f>IF(A32="","",ROUND(SUMIFS('Movimentações'!$E$2:$E$501,'Movimentações'!$B$2:$B$501,"Retirada objetivo",'Movimentações'!$G$2:$G$501,$A32),2))</x:f>
      </x:c>
      <x:c r="J32" s="52" t="str">
        <x:f>IF(A32="","",ROUND(C32+H32-I32,2))</x:f>
      </x:c>
      <x:c r="K32" s="52" t="str">
        <x:f>IF(A32="","",MAX(0,ROUND(B32-J32,2)))</x:f>
      </x:c>
      <x:c r="L32" s="58" t="str">
        <x:f>IF(A32="","",IF(B32&gt;0,MIN(1,J32/B32),0))</x:f>
      </x:c>
      <x:c r="M32" s="20" t="str">
        <x:f>IF(A32="","",IF(K32&lt;=0,0,IF(E32&gt;0,ROUNDUP(K32/E32,0),"")))</x:f>
      </x:c>
      <x:c r="N32" s="52" t="str">
        <x:f>IF(OR(A32="",D32="",K32&lt;=0),"",ROUNDUP(K32/MAX(1,(YEAR(D32)-YEAR('Painel'!$B$3))*12+MONTH(D32)-MONTH('Painel'!$B$3)),2))</x:f>
      </x:c>
      <x:c r="O32" s="20" t="str">
        <x:f>IF(A32="","",IF(K32&lt;=0,"Atingida",IF(D32="","Sem prazo",IF(E32&gt;=N32,"Viável","Pode não caber"))))</x:f>
      </x:c>
    </x:row>
    <x:row r="33">
      <x:c r="A33" s="20"/>
      <x:c r="B33" s="52"/>
      <x:c r="C33" s="52"/>
      <x:c r="D33" s="50"/>
      <x:c r="E33" s="52"/>
      <x:c r="F33" s="20"/>
      <x:c r="G33" s="20"/>
      <x:c r="H33" s="52" t="str">
        <x:f>IF(A33="","",ROUND(SUMIFS('Movimentações'!$E$2:$E$501,'Movimentações'!$B$2:$B$501,"Aporte objetivo",'Movimentações'!$G$2:$G$501,$A33),2))</x:f>
      </x:c>
      <x:c r="I33" s="52" t="str">
        <x:f>IF(A33="","",ROUND(SUMIFS('Movimentações'!$E$2:$E$501,'Movimentações'!$B$2:$B$501,"Retirada objetivo",'Movimentações'!$G$2:$G$501,$A33),2))</x:f>
      </x:c>
      <x:c r="J33" s="52" t="str">
        <x:f>IF(A33="","",ROUND(C33+H33-I33,2))</x:f>
      </x:c>
      <x:c r="K33" s="52" t="str">
        <x:f>IF(A33="","",MAX(0,ROUND(B33-J33,2)))</x:f>
      </x:c>
      <x:c r="L33" s="58" t="str">
        <x:f>IF(A33="","",IF(B33&gt;0,MIN(1,J33/B33),0))</x:f>
      </x:c>
      <x:c r="M33" s="20" t="str">
        <x:f>IF(A33="","",IF(K33&lt;=0,0,IF(E33&gt;0,ROUNDUP(K33/E33,0),"")))</x:f>
      </x:c>
      <x:c r="N33" s="52" t="str">
        <x:f>IF(OR(A33="",D33="",K33&lt;=0),"",ROUNDUP(K33/MAX(1,(YEAR(D33)-YEAR('Painel'!$B$3))*12+MONTH(D33)-MONTH('Painel'!$B$3)),2))</x:f>
      </x:c>
      <x:c r="O33" s="20" t="str">
        <x:f>IF(A33="","",IF(K33&lt;=0,"Atingida",IF(D33="","Sem prazo",IF(E33&gt;=N33,"Viável","Pode não caber"))))</x:f>
      </x:c>
    </x:row>
    <x:row r="34">
      <x:c r="A34" s="20"/>
      <x:c r="B34" s="52"/>
      <x:c r="C34" s="52"/>
      <x:c r="D34" s="50"/>
      <x:c r="E34" s="52"/>
      <x:c r="F34" s="20"/>
      <x:c r="G34" s="20"/>
      <x:c r="H34" s="52" t="str">
        <x:f>IF(A34="","",ROUND(SUMIFS('Movimentações'!$E$2:$E$501,'Movimentações'!$B$2:$B$501,"Aporte objetivo",'Movimentações'!$G$2:$G$501,$A34),2))</x:f>
      </x:c>
      <x:c r="I34" s="52" t="str">
        <x:f>IF(A34="","",ROUND(SUMIFS('Movimentações'!$E$2:$E$501,'Movimentações'!$B$2:$B$501,"Retirada objetivo",'Movimentações'!$G$2:$G$501,$A34),2))</x:f>
      </x:c>
      <x:c r="J34" s="52" t="str">
        <x:f>IF(A34="","",ROUND(C34+H34-I34,2))</x:f>
      </x:c>
      <x:c r="K34" s="52" t="str">
        <x:f>IF(A34="","",MAX(0,ROUND(B34-J34,2)))</x:f>
      </x:c>
      <x:c r="L34" s="58" t="str">
        <x:f>IF(A34="","",IF(B34&gt;0,MIN(1,J34/B34),0))</x:f>
      </x:c>
      <x:c r="M34" s="20" t="str">
        <x:f>IF(A34="","",IF(K34&lt;=0,0,IF(E34&gt;0,ROUNDUP(K34/E34,0),"")))</x:f>
      </x:c>
      <x:c r="N34" s="52" t="str">
        <x:f>IF(OR(A34="",D34="",K34&lt;=0),"",ROUNDUP(K34/MAX(1,(YEAR(D34)-YEAR('Painel'!$B$3))*12+MONTH(D34)-MONTH('Painel'!$B$3)),2))</x:f>
      </x:c>
      <x:c r="O34" s="20" t="str">
        <x:f>IF(A34="","",IF(K34&lt;=0,"Atingida",IF(D34="","Sem prazo",IF(E34&gt;=N34,"Viável","Pode não caber"))))</x:f>
      </x:c>
    </x:row>
    <x:row r="35">
      <x:c r="A35" s="20"/>
      <x:c r="B35" s="52"/>
      <x:c r="C35" s="52"/>
      <x:c r="D35" s="50"/>
      <x:c r="E35" s="52"/>
      <x:c r="F35" s="20"/>
      <x:c r="G35" s="20"/>
      <x:c r="H35" s="52" t="str">
        <x:f>IF(A35="","",ROUND(SUMIFS('Movimentações'!$E$2:$E$501,'Movimentações'!$B$2:$B$501,"Aporte objetivo",'Movimentações'!$G$2:$G$501,$A35),2))</x:f>
      </x:c>
      <x:c r="I35" s="52" t="str">
        <x:f>IF(A35="","",ROUND(SUMIFS('Movimentações'!$E$2:$E$501,'Movimentações'!$B$2:$B$501,"Retirada objetivo",'Movimentações'!$G$2:$G$501,$A35),2))</x:f>
      </x:c>
      <x:c r="J35" s="52" t="str">
        <x:f>IF(A35="","",ROUND(C35+H35-I35,2))</x:f>
      </x:c>
      <x:c r="K35" s="52" t="str">
        <x:f>IF(A35="","",MAX(0,ROUND(B35-J35,2)))</x:f>
      </x:c>
      <x:c r="L35" s="58" t="str">
        <x:f>IF(A35="","",IF(B35&gt;0,MIN(1,J35/B35),0))</x:f>
      </x:c>
      <x:c r="M35" s="20" t="str">
        <x:f>IF(A35="","",IF(K35&lt;=0,0,IF(E35&gt;0,ROUNDUP(K35/E35,0),"")))</x:f>
      </x:c>
      <x:c r="N35" s="52" t="str">
        <x:f>IF(OR(A35="",D35="",K35&lt;=0),"",ROUNDUP(K35/MAX(1,(YEAR(D35)-YEAR('Painel'!$B$3))*12+MONTH(D35)-MONTH('Painel'!$B$3)),2))</x:f>
      </x:c>
      <x:c r="O35" s="20" t="str">
        <x:f>IF(A35="","",IF(K35&lt;=0,"Atingida",IF(D35="","Sem prazo",IF(E35&gt;=N35,"Viável","Pode não caber"))))</x:f>
      </x:c>
    </x:row>
    <x:row r="36">
      <x:c r="A36" s="20"/>
      <x:c r="B36" s="52"/>
      <x:c r="C36" s="52"/>
      <x:c r="D36" s="50"/>
      <x:c r="E36" s="52"/>
      <x:c r="F36" s="20"/>
      <x:c r="G36" s="20"/>
      <x:c r="H36" s="52" t="str">
        <x:f>IF(A36="","",ROUND(SUMIFS('Movimentações'!$E$2:$E$501,'Movimentações'!$B$2:$B$501,"Aporte objetivo",'Movimentações'!$G$2:$G$501,$A36),2))</x:f>
      </x:c>
      <x:c r="I36" s="52" t="str">
        <x:f>IF(A36="","",ROUND(SUMIFS('Movimentações'!$E$2:$E$501,'Movimentações'!$B$2:$B$501,"Retirada objetivo",'Movimentações'!$G$2:$G$501,$A36),2))</x:f>
      </x:c>
      <x:c r="J36" s="52" t="str">
        <x:f>IF(A36="","",ROUND(C36+H36-I36,2))</x:f>
      </x:c>
      <x:c r="K36" s="52" t="str">
        <x:f>IF(A36="","",MAX(0,ROUND(B36-J36,2)))</x:f>
      </x:c>
      <x:c r="L36" s="58" t="str">
        <x:f>IF(A36="","",IF(B36&gt;0,MIN(1,J36/B36),0))</x:f>
      </x:c>
      <x:c r="M36" s="20" t="str">
        <x:f>IF(A36="","",IF(K36&lt;=0,0,IF(E36&gt;0,ROUNDUP(K36/E36,0),"")))</x:f>
      </x:c>
      <x:c r="N36" s="52" t="str">
        <x:f>IF(OR(A36="",D36="",K36&lt;=0),"",ROUNDUP(K36/MAX(1,(YEAR(D36)-YEAR('Painel'!$B$3))*12+MONTH(D36)-MONTH('Painel'!$B$3)),2))</x:f>
      </x:c>
      <x:c r="O36" s="20" t="str">
        <x:f>IF(A36="","",IF(K36&lt;=0,"Atingida",IF(D36="","Sem prazo",IF(E36&gt;=N36,"Viável","Pode não caber"))))</x:f>
      </x:c>
    </x:row>
    <x:row r="37">
      <x:c r="A37" s="20"/>
      <x:c r="B37" s="52"/>
      <x:c r="C37" s="52"/>
      <x:c r="D37" s="50"/>
      <x:c r="E37" s="52"/>
      <x:c r="F37" s="20"/>
      <x:c r="G37" s="20"/>
      <x:c r="H37" s="52" t="str">
        <x:f>IF(A37="","",ROUND(SUMIFS('Movimentações'!$E$2:$E$501,'Movimentações'!$B$2:$B$501,"Aporte objetivo",'Movimentações'!$G$2:$G$501,$A37),2))</x:f>
      </x:c>
      <x:c r="I37" s="52" t="str">
        <x:f>IF(A37="","",ROUND(SUMIFS('Movimentações'!$E$2:$E$501,'Movimentações'!$B$2:$B$501,"Retirada objetivo",'Movimentações'!$G$2:$G$501,$A37),2))</x:f>
      </x:c>
      <x:c r="J37" s="52" t="str">
        <x:f>IF(A37="","",ROUND(C37+H37-I37,2))</x:f>
      </x:c>
      <x:c r="K37" s="52" t="str">
        <x:f>IF(A37="","",MAX(0,ROUND(B37-J37,2)))</x:f>
      </x:c>
      <x:c r="L37" s="58" t="str">
        <x:f>IF(A37="","",IF(B37&gt;0,MIN(1,J37/B37),0))</x:f>
      </x:c>
      <x:c r="M37" s="20" t="str">
        <x:f>IF(A37="","",IF(K37&lt;=0,0,IF(E37&gt;0,ROUNDUP(K37/E37,0),"")))</x:f>
      </x:c>
      <x:c r="N37" s="52" t="str">
        <x:f>IF(OR(A37="",D37="",K37&lt;=0),"",ROUNDUP(K37/MAX(1,(YEAR(D37)-YEAR('Painel'!$B$3))*12+MONTH(D37)-MONTH('Painel'!$B$3)),2))</x:f>
      </x:c>
      <x:c r="O37" s="20" t="str">
        <x:f>IF(A37="","",IF(K37&lt;=0,"Atingida",IF(D37="","Sem prazo",IF(E37&gt;=N37,"Viável","Pode não caber"))))</x:f>
      </x:c>
    </x:row>
    <x:row r="38">
      <x:c r="A38" s="20"/>
      <x:c r="B38" s="52"/>
      <x:c r="C38" s="52"/>
      <x:c r="D38" s="50"/>
      <x:c r="E38" s="52"/>
      <x:c r="F38" s="20"/>
      <x:c r="G38" s="20"/>
      <x:c r="H38" s="52" t="str">
        <x:f>IF(A38="","",ROUND(SUMIFS('Movimentações'!$E$2:$E$501,'Movimentações'!$B$2:$B$501,"Aporte objetivo",'Movimentações'!$G$2:$G$501,$A38),2))</x:f>
      </x:c>
      <x:c r="I38" s="52" t="str">
        <x:f>IF(A38="","",ROUND(SUMIFS('Movimentações'!$E$2:$E$501,'Movimentações'!$B$2:$B$501,"Retirada objetivo",'Movimentações'!$G$2:$G$501,$A38),2))</x:f>
      </x:c>
      <x:c r="J38" s="52" t="str">
        <x:f>IF(A38="","",ROUND(C38+H38-I38,2))</x:f>
      </x:c>
      <x:c r="K38" s="52" t="str">
        <x:f>IF(A38="","",MAX(0,ROUND(B38-J38,2)))</x:f>
      </x:c>
      <x:c r="L38" s="58" t="str">
        <x:f>IF(A38="","",IF(B38&gt;0,MIN(1,J38/B38),0))</x:f>
      </x:c>
      <x:c r="M38" s="20" t="str">
        <x:f>IF(A38="","",IF(K38&lt;=0,0,IF(E38&gt;0,ROUNDUP(K38/E38,0),"")))</x:f>
      </x:c>
      <x:c r="N38" s="52" t="str">
        <x:f>IF(OR(A38="",D38="",K38&lt;=0),"",ROUNDUP(K38/MAX(1,(YEAR(D38)-YEAR('Painel'!$B$3))*12+MONTH(D38)-MONTH('Painel'!$B$3)),2))</x:f>
      </x:c>
      <x:c r="O38" s="20" t="str">
        <x:f>IF(A38="","",IF(K38&lt;=0,"Atingida",IF(D38="","Sem prazo",IF(E38&gt;=N38,"Viável","Pode não caber"))))</x:f>
      </x:c>
    </x:row>
    <x:row r="39">
      <x:c r="A39" s="20"/>
      <x:c r="B39" s="52"/>
      <x:c r="C39" s="52"/>
      <x:c r="D39" s="50"/>
      <x:c r="E39" s="52"/>
      <x:c r="F39" s="20"/>
      <x:c r="G39" s="20"/>
      <x:c r="H39" s="52" t="str">
        <x:f>IF(A39="","",ROUND(SUMIFS('Movimentações'!$E$2:$E$501,'Movimentações'!$B$2:$B$501,"Aporte objetivo",'Movimentações'!$G$2:$G$501,$A39),2))</x:f>
      </x:c>
      <x:c r="I39" s="52" t="str">
        <x:f>IF(A39="","",ROUND(SUMIFS('Movimentações'!$E$2:$E$501,'Movimentações'!$B$2:$B$501,"Retirada objetivo",'Movimentações'!$G$2:$G$501,$A39),2))</x:f>
      </x:c>
      <x:c r="J39" s="52" t="str">
        <x:f>IF(A39="","",ROUND(C39+H39-I39,2))</x:f>
      </x:c>
      <x:c r="K39" s="52" t="str">
        <x:f>IF(A39="","",MAX(0,ROUND(B39-J39,2)))</x:f>
      </x:c>
      <x:c r="L39" s="58" t="str">
        <x:f>IF(A39="","",IF(B39&gt;0,MIN(1,J39/B39),0))</x:f>
      </x:c>
      <x:c r="M39" s="20" t="str">
        <x:f>IF(A39="","",IF(K39&lt;=0,0,IF(E39&gt;0,ROUNDUP(K39/E39,0),"")))</x:f>
      </x:c>
      <x:c r="N39" s="52" t="str">
        <x:f>IF(OR(A39="",D39="",K39&lt;=0),"",ROUNDUP(K39/MAX(1,(YEAR(D39)-YEAR('Painel'!$B$3))*12+MONTH(D39)-MONTH('Painel'!$B$3)),2))</x:f>
      </x:c>
      <x:c r="O39" s="20" t="str">
        <x:f>IF(A39="","",IF(K39&lt;=0,"Atingida",IF(D39="","Sem prazo",IF(E39&gt;=N39,"Viável","Pode não caber"))))</x:f>
      </x:c>
    </x:row>
    <x:row r="40">
      <x:c r="A40" s="20"/>
      <x:c r="B40" s="52"/>
      <x:c r="C40" s="52"/>
      <x:c r="D40" s="50"/>
      <x:c r="E40" s="52"/>
      <x:c r="F40" s="20"/>
      <x:c r="G40" s="20"/>
      <x:c r="H40" s="52" t="str">
        <x:f>IF(A40="","",ROUND(SUMIFS('Movimentações'!$E$2:$E$501,'Movimentações'!$B$2:$B$501,"Aporte objetivo",'Movimentações'!$G$2:$G$501,$A40),2))</x:f>
      </x:c>
      <x:c r="I40" s="52" t="str">
        <x:f>IF(A40="","",ROUND(SUMIFS('Movimentações'!$E$2:$E$501,'Movimentações'!$B$2:$B$501,"Retirada objetivo",'Movimentações'!$G$2:$G$501,$A40),2))</x:f>
      </x:c>
      <x:c r="J40" s="52" t="str">
        <x:f>IF(A40="","",ROUND(C40+H40-I40,2))</x:f>
      </x:c>
      <x:c r="K40" s="52" t="str">
        <x:f>IF(A40="","",MAX(0,ROUND(B40-J40,2)))</x:f>
      </x:c>
      <x:c r="L40" s="58" t="str">
        <x:f>IF(A40="","",IF(B40&gt;0,MIN(1,J40/B40),0))</x:f>
      </x:c>
      <x:c r="M40" s="20" t="str">
        <x:f>IF(A40="","",IF(K40&lt;=0,0,IF(E40&gt;0,ROUNDUP(K40/E40,0),"")))</x:f>
      </x:c>
      <x:c r="N40" s="52" t="str">
        <x:f>IF(OR(A40="",D40="",K40&lt;=0),"",ROUNDUP(K40/MAX(1,(YEAR(D40)-YEAR('Painel'!$B$3))*12+MONTH(D40)-MONTH('Painel'!$B$3)),2))</x:f>
      </x:c>
      <x:c r="O40" s="20" t="str">
        <x:f>IF(A40="","",IF(K40&lt;=0,"Atingida",IF(D40="","Sem prazo",IF(E40&gt;=N40,"Viável","Pode não caber"))))</x:f>
      </x:c>
    </x:row>
    <x:row r="41">
      <x:c r="A41" s="20"/>
      <x:c r="B41" s="52"/>
      <x:c r="C41" s="52"/>
      <x:c r="D41" s="50"/>
      <x:c r="E41" s="52"/>
      <x:c r="F41" s="20"/>
      <x:c r="G41" s="20"/>
      <x:c r="H41" s="52" t="str">
        <x:f>IF(A41="","",ROUND(SUMIFS('Movimentações'!$E$2:$E$501,'Movimentações'!$B$2:$B$501,"Aporte objetivo",'Movimentações'!$G$2:$G$501,$A41),2))</x:f>
      </x:c>
      <x:c r="I41" s="52" t="str">
        <x:f>IF(A41="","",ROUND(SUMIFS('Movimentações'!$E$2:$E$501,'Movimentações'!$B$2:$B$501,"Retirada objetivo",'Movimentações'!$G$2:$G$501,$A41),2))</x:f>
      </x:c>
      <x:c r="J41" s="52" t="str">
        <x:f>IF(A41="","",ROUND(C41+H41-I41,2))</x:f>
      </x:c>
      <x:c r="K41" s="52" t="str">
        <x:f>IF(A41="","",MAX(0,ROUND(B41-J41,2)))</x:f>
      </x:c>
      <x:c r="L41" s="58" t="str">
        <x:f>IF(A41="","",IF(B41&gt;0,MIN(1,J41/B41),0))</x:f>
      </x:c>
      <x:c r="M41" s="20" t="str">
        <x:f>IF(A41="","",IF(K41&lt;=0,0,IF(E41&gt;0,ROUNDUP(K41/E41,0),"")))</x:f>
      </x:c>
      <x:c r="N41" s="52" t="str">
        <x:f>IF(OR(A41="",D41="",K41&lt;=0),"",ROUNDUP(K41/MAX(1,(YEAR(D41)-YEAR('Painel'!$B$3))*12+MONTH(D41)-MONTH('Painel'!$B$3)),2))</x:f>
      </x:c>
      <x:c r="O41" s="20" t="str">
        <x:f>IF(A41="","",IF(K41&lt;=0,"Atingida",IF(D41="","Sem prazo",IF(E41&gt;=N41,"Viável","Pode não caber"))))</x:f>
      </x:c>
    </x:row>
    <x:row r="42">
      <x:c r="A42" s="20"/>
      <x:c r="B42" s="52"/>
      <x:c r="C42" s="52"/>
      <x:c r="D42" s="50"/>
      <x:c r="E42" s="52"/>
      <x:c r="F42" s="20"/>
      <x:c r="G42" s="20"/>
      <x:c r="H42" s="52" t="str">
        <x:f>IF(A42="","",ROUND(SUMIFS('Movimentações'!$E$2:$E$501,'Movimentações'!$B$2:$B$501,"Aporte objetivo",'Movimentações'!$G$2:$G$501,$A42),2))</x:f>
      </x:c>
      <x:c r="I42" s="52" t="str">
        <x:f>IF(A42="","",ROUND(SUMIFS('Movimentações'!$E$2:$E$501,'Movimentações'!$B$2:$B$501,"Retirada objetivo",'Movimentações'!$G$2:$G$501,$A42),2))</x:f>
      </x:c>
      <x:c r="J42" s="52" t="str">
        <x:f>IF(A42="","",ROUND(C42+H42-I42,2))</x:f>
      </x:c>
      <x:c r="K42" s="52" t="str">
        <x:f>IF(A42="","",MAX(0,ROUND(B42-J42,2)))</x:f>
      </x:c>
      <x:c r="L42" s="58" t="str">
        <x:f>IF(A42="","",IF(B42&gt;0,MIN(1,J42/B42),0))</x:f>
      </x:c>
      <x:c r="M42" s="20" t="str">
        <x:f>IF(A42="","",IF(K42&lt;=0,0,IF(E42&gt;0,ROUNDUP(K42/E42,0),"")))</x:f>
      </x:c>
      <x:c r="N42" s="52" t="str">
        <x:f>IF(OR(A42="",D42="",K42&lt;=0),"",ROUNDUP(K42/MAX(1,(YEAR(D42)-YEAR('Painel'!$B$3))*12+MONTH(D42)-MONTH('Painel'!$B$3)),2))</x:f>
      </x:c>
      <x:c r="O42" s="20" t="str">
        <x:f>IF(A42="","",IF(K42&lt;=0,"Atingida",IF(D42="","Sem prazo",IF(E42&gt;=N42,"Viável","Pode não caber"))))</x:f>
      </x:c>
    </x:row>
    <x:row r="43">
      <x:c r="A43" s="20"/>
      <x:c r="B43" s="52"/>
      <x:c r="C43" s="52"/>
      <x:c r="D43" s="50"/>
      <x:c r="E43" s="52"/>
      <x:c r="F43" s="20"/>
      <x:c r="G43" s="20"/>
      <x:c r="H43" s="52" t="str">
        <x:f>IF(A43="","",ROUND(SUMIFS('Movimentações'!$E$2:$E$501,'Movimentações'!$B$2:$B$501,"Aporte objetivo",'Movimentações'!$G$2:$G$501,$A43),2))</x:f>
      </x:c>
      <x:c r="I43" s="52" t="str">
        <x:f>IF(A43="","",ROUND(SUMIFS('Movimentações'!$E$2:$E$501,'Movimentações'!$B$2:$B$501,"Retirada objetivo",'Movimentações'!$G$2:$G$501,$A43),2))</x:f>
      </x:c>
      <x:c r="J43" s="52" t="str">
        <x:f>IF(A43="","",ROUND(C43+H43-I43,2))</x:f>
      </x:c>
      <x:c r="K43" s="52" t="str">
        <x:f>IF(A43="","",MAX(0,ROUND(B43-J43,2)))</x:f>
      </x:c>
      <x:c r="L43" s="58" t="str">
        <x:f>IF(A43="","",IF(B43&gt;0,MIN(1,J43/B43),0))</x:f>
      </x:c>
      <x:c r="M43" s="20" t="str">
        <x:f>IF(A43="","",IF(K43&lt;=0,0,IF(E43&gt;0,ROUNDUP(K43/E43,0),"")))</x:f>
      </x:c>
      <x:c r="N43" s="52" t="str">
        <x:f>IF(OR(A43="",D43="",K43&lt;=0),"",ROUNDUP(K43/MAX(1,(YEAR(D43)-YEAR('Painel'!$B$3))*12+MONTH(D43)-MONTH('Painel'!$B$3)),2))</x:f>
      </x:c>
      <x:c r="O43" s="20" t="str">
        <x:f>IF(A43="","",IF(K43&lt;=0,"Atingida",IF(D43="","Sem prazo",IF(E43&gt;=N43,"Viável","Pode não caber"))))</x:f>
      </x:c>
    </x:row>
    <x:row r="44">
      <x:c r="A44" s="20"/>
      <x:c r="B44" s="52"/>
      <x:c r="C44" s="52"/>
      <x:c r="D44" s="50"/>
      <x:c r="E44" s="52"/>
      <x:c r="F44" s="20"/>
      <x:c r="G44" s="20"/>
      <x:c r="H44" s="52" t="str">
        <x:f>IF(A44="","",ROUND(SUMIFS('Movimentações'!$E$2:$E$501,'Movimentações'!$B$2:$B$501,"Aporte objetivo",'Movimentações'!$G$2:$G$501,$A44),2))</x:f>
      </x:c>
      <x:c r="I44" s="52" t="str">
        <x:f>IF(A44="","",ROUND(SUMIFS('Movimentações'!$E$2:$E$501,'Movimentações'!$B$2:$B$501,"Retirada objetivo",'Movimentações'!$G$2:$G$501,$A44),2))</x:f>
      </x:c>
      <x:c r="J44" s="52" t="str">
        <x:f>IF(A44="","",ROUND(C44+H44-I44,2))</x:f>
      </x:c>
      <x:c r="K44" s="52" t="str">
        <x:f>IF(A44="","",MAX(0,ROUND(B44-J44,2)))</x:f>
      </x:c>
      <x:c r="L44" s="58" t="str">
        <x:f>IF(A44="","",IF(B44&gt;0,MIN(1,J44/B44),0))</x:f>
      </x:c>
      <x:c r="M44" s="20" t="str">
        <x:f>IF(A44="","",IF(K44&lt;=0,0,IF(E44&gt;0,ROUNDUP(K44/E44,0),"")))</x:f>
      </x:c>
      <x:c r="N44" s="52" t="str">
        <x:f>IF(OR(A44="",D44="",K44&lt;=0),"",ROUNDUP(K44/MAX(1,(YEAR(D44)-YEAR('Painel'!$B$3))*12+MONTH(D44)-MONTH('Painel'!$B$3)),2))</x:f>
      </x:c>
      <x:c r="O44" s="20" t="str">
        <x:f>IF(A44="","",IF(K44&lt;=0,"Atingida",IF(D44="","Sem prazo",IF(E44&gt;=N44,"Viável","Pode não caber"))))</x:f>
      </x:c>
    </x:row>
    <x:row r="45">
      <x:c r="A45" s="20"/>
      <x:c r="B45" s="52"/>
      <x:c r="C45" s="52"/>
      <x:c r="D45" s="50"/>
      <x:c r="E45" s="52"/>
      <x:c r="F45" s="20"/>
      <x:c r="G45" s="20"/>
      <x:c r="H45" s="52" t="str">
        <x:f>IF(A45="","",ROUND(SUMIFS('Movimentações'!$E$2:$E$501,'Movimentações'!$B$2:$B$501,"Aporte objetivo",'Movimentações'!$G$2:$G$501,$A45),2))</x:f>
      </x:c>
      <x:c r="I45" s="52" t="str">
        <x:f>IF(A45="","",ROUND(SUMIFS('Movimentações'!$E$2:$E$501,'Movimentações'!$B$2:$B$501,"Retirada objetivo",'Movimentações'!$G$2:$G$501,$A45),2))</x:f>
      </x:c>
      <x:c r="J45" s="52" t="str">
        <x:f>IF(A45="","",ROUND(C45+H45-I45,2))</x:f>
      </x:c>
      <x:c r="K45" s="52" t="str">
        <x:f>IF(A45="","",MAX(0,ROUND(B45-J45,2)))</x:f>
      </x:c>
      <x:c r="L45" s="58" t="str">
        <x:f>IF(A45="","",IF(B45&gt;0,MIN(1,J45/B45),0))</x:f>
      </x:c>
      <x:c r="M45" s="20" t="str">
        <x:f>IF(A45="","",IF(K45&lt;=0,0,IF(E45&gt;0,ROUNDUP(K45/E45,0),"")))</x:f>
      </x:c>
      <x:c r="N45" s="52" t="str">
        <x:f>IF(OR(A45="",D45="",K45&lt;=0),"",ROUNDUP(K45/MAX(1,(YEAR(D45)-YEAR('Painel'!$B$3))*12+MONTH(D45)-MONTH('Painel'!$B$3)),2))</x:f>
      </x:c>
      <x:c r="O45" s="20" t="str">
        <x:f>IF(A45="","",IF(K45&lt;=0,"Atingida",IF(D45="","Sem prazo",IF(E45&gt;=N45,"Viável","Pode não caber"))))</x:f>
      </x:c>
    </x:row>
    <x:row r="46">
      <x:c r="A46" s="20"/>
      <x:c r="B46" s="52"/>
      <x:c r="C46" s="52"/>
      <x:c r="D46" s="50"/>
      <x:c r="E46" s="52"/>
      <x:c r="F46" s="20"/>
      <x:c r="G46" s="20"/>
      <x:c r="H46" s="52" t="str">
        <x:f>IF(A46="","",ROUND(SUMIFS('Movimentações'!$E$2:$E$501,'Movimentações'!$B$2:$B$501,"Aporte objetivo",'Movimentações'!$G$2:$G$501,$A46),2))</x:f>
      </x:c>
      <x:c r="I46" s="52" t="str">
        <x:f>IF(A46="","",ROUND(SUMIFS('Movimentações'!$E$2:$E$501,'Movimentações'!$B$2:$B$501,"Retirada objetivo",'Movimentações'!$G$2:$G$501,$A46),2))</x:f>
      </x:c>
      <x:c r="J46" s="52" t="str">
        <x:f>IF(A46="","",ROUND(C46+H46-I46,2))</x:f>
      </x:c>
      <x:c r="K46" s="52" t="str">
        <x:f>IF(A46="","",MAX(0,ROUND(B46-J46,2)))</x:f>
      </x:c>
      <x:c r="L46" s="58" t="str">
        <x:f>IF(A46="","",IF(B46&gt;0,MIN(1,J46/B46),0))</x:f>
      </x:c>
      <x:c r="M46" s="20" t="str">
        <x:f>IF(A46="","",IF(K46&lt;=0,0,IF(E46&gt;0,ROUNDUP(K46/E46,0),"")))</x:f>
      </x:c>
      <x:c r="N46" s="52" t="str">
        <x:f>IF(OR(A46="",D46="",K46&lt;=0),"",ROUNDUP(K46/MAX(1,(YEAR(D46)-YEAR('Painel'!$B$3))*12+MONTH(D46)-MONTH('Painel'!$B$3)),2))</x:f>
      </x:c>
      <x:c r="O46" s="20" t="str">
        <x:f>IF(A46="","",IF(K46&lt;=0,"Atingida",IF(D46="","Sem prazo",IF(E46&gt;=N46,"Viável","Pode não caber"))))</x:f>
      </x:c>
    </x:row>
    <x:row r="47">
      <x:c r="A47" s="20"/>
      <x:c r="B47" s="52"/>
      <x:c r="C47" s="52"/>
      <x:c r="D47" s="50"/>
      <x:c r="E47" s="52"/>
      <x:c r="F47" s="20"/>
      <x:c r="G47" s="20"/>
      <x:c r="H47" s="52" t="str">
        <x:f>IF(A47="","",ROUND(SUMIFS('Movimentações'!$E$2:$E$501,'Movimentações'!$B$2:$B$501,"Aporte objetivo",'Movimentações'!$G$2:$G$501,$A47),2))</x:f>
      </x:c>
      <x:c r="I47" s="52" t="str">
        <x:f>IF(A47="","",ROUND(SUMIFS('Movimentações'!$E$2:$E$501,'Movimentações'!$B$2:$B$501,"Retirada objetivo",'Movimentações'!$G$2:$G$501,$A47),2))</x:f>
      </x:c>
      <x:c r="J47" s="52" t="str">
        <x:f>IF(A47="","",ROUND(C47+H47-I47,2))</x:f>
      </x:c>
      <x:c r="K47" s="52" t="str">
        <x:f>IF(A47="","",MAX(0,ROUND(B47-J47,2)))</x:f>
      </x:c>
      <x:c r="L47" s="58" t="str">
        <x:f>IF(A47="","",IF(B47&gt;0,MIN(1,J47/B47),0))</x:f>
      </x:c>
      <x:c r="M47" s="20" t="str">
        <x:f>IF(A47="","",IF(K47&lt;=0,0,IF(E47&gt;0,ROUNDUP(K47/E47,0),"")))</x:f>
      </x:c>
      <x:c r="N47" s="52" t="str">
        <x:f>IF(OR(A47="",D47="",K47&lt;=0),"",ROUNDUP(K47/MAX(1,(YEAR(D47)-YEAR('Painel'!$B$3))*12+MONTH(D47)-MONTH('Painel'!$B$3)),2))</x:f>
      </x:c>
      <x:c r="O47" s="20" t="str">
        <x:f>IF(A47="","",IF(K47&lt;=0,"Atingida",IF(D47="","Sem prazo",IF(E47&gt;=N47,"Viável","Pode não caber"))))</x:f>
      </x:c>
    </x:row>
    <x:row r="48">
      <x:c r="A48" s="20"/>
      <x:c r="B48" s="52"/>
      <x:c r="C48" s="52"/>
      <x:c r="D48" s="50"/>
      <x:c r="E48" s="52"/>
      <x:c r="F48" s="20"/>
      <x:c r="G48" s="20"/>
      <x:c r="H48" s="52" t="str">
        <x:f>IF(A48="","",ROUND(SUMIFS('Movimentações'!$E$2:$E$501,'Movimentações'!$B$2:$B$501,"Aporte objetivo",'Movimentações'!$G$2:$G$501,$A48),2))</x:f>
      </x:c>
      <x:c r="I48" s="52" t="str">
        <x:f>IF(A48="","",ROUND(SUMIFS('Movimentações'!$E$2:$E$501,'Movimentações'!$B$2:$B$501,"Retirada objetivo",'Movimentações'!$G$2:$G$501,$A48),2))</x:f>
      </x:c>
      <x:c r="J48" s="52" t="str">
        <x:f>IF(A48="","",ROUND(C48+H48-I48,2))</x:f>
      </x:c>
      <x:c r="K48" s="52" t="str">
        <x:f>IF(A48="","",MAX(0,ROUND(B48-J48,2)))</x:f>
      </x:c>
      <x:c r="L48" s="58" t="str">
        <x:f>IF(A48="","",IF(B48&gt;0,MIN(1,J48/B48),0))</x:f>
      </x:c>
      <x:c r="M48" s="20" t="str">
        <x:f>IF(A48="","",IF(K48&lt;=0,0,IF(E48&gt;0,ROUNDUP(K48/E48,0),"")))</x:f>
      </x:c>
      <x:c r="N48" s="52" t="str">
        <x:f>IF(OR(A48="",D48="",K48&lt;=0),"",ROUNDUP(K48/MAX(1,(YEAR(D48)-YEAR('Painel'!$B$3))*12+MONTH(D48)-MONTH('Painel'!$B$3)),2))</x:f>
      </x:c>
      <x:c r="O48" s="20" t="str">
        <x:f>IF(A48="","",IF(K48&lt;=0,"Atingida",IF(D48="","Sem prazo",IF(E48&gt;=N48,"Viável","Pode não caber"))))</x:f>
      </x:c>
    </x:row>
    <x:row r="49">
      <x:c r="A49" s="20"/>
      <x:c r="B49" s="52"/>
      <x:c r="C49" s="52"/>
      <x:c r="D49" s="50"/>
      <x:c r="E49" s="52"/>
      <x:c r="F49" s="20"/>
      <x:c r="G49" s="20"/>
      <x:c r="H49" s="52" t="str">
        <x:f>IF(A49="","",ROUND(SUMIFS('Movimentações'!$E$2:$E$501,'Movimentações'!$B$2:$B$501,"Aporte objetivo",'Movimentações'!$G$2:$G$501,$A49),2))</x:f>
      </x:c>
      <x:c r="I49" s="52" t="str">
        <x:f>IF(A49="","",ROUND(SUMIFS('Movimentações'!$E$2:$E$501,'Movimentações'!$B$2:$B$501,"Retirada objetivo",'Movimentações'!$G$2:$G$501,$A49),2))</x:f>
      </x:c>
      <x:c r="J49" s="52" t="str">
        <x:f>IF(A49="","",ROUND(C49+H49-I49,2))</x:f>
      </x:c>
      <x:c r="K49" s="52" t="str">
        <x:f>IF(A49="","",MAX(0,ROUND(B49-J49,2)))</x:f>
      </x:c>
      <x:c r="L49" s="58" t="str">
        <x:f>IF(A49="","",IF(B49&gt;0,MIN(1,J49/B49),0))</x:f>
      </x:c>
      <x:c r="M49" s="20" t="str">
        <x:f>IF(A49="","",IF(K49&lt;=0,0,IF(E49&gt;0,ROUNDUP(K49/E49,0),"")))</x:f>
      </x:c>
      <x:c r="N49" s="52" t="str">
        <x:f>IF(OR(A49="",D49="",K49&lt;=0),"",ROUNDUP(K49/MAX(1,(YEAR(D49)-YEAR('Painel'!$B$3))*12+MONTH(D49)-MONTH('Painel'!$B$3)),2))</x:f>
      </x:c>
      <x:c r="O49" s="20" t="str">
        <x:f>IF(A49="","",IF(K49&lt;=0,"Atingida",IF(D49="","Sem prazo",IF(E49&gt;=N49,"Viável","Pode não caber"))))</x:f>
      </x:c>
    </x:row>
    <x:row r="50">
      <x:c r="A50" s="20"/>
      <x:c r="B50" s="52"/>
      <x:c r="C50" s="52"/>
      <x:c r="D50" s="50"/>
      <x:c r="E50" s="52"/>
      <x:c r="F50" s="20"/>
      <x:c r="G50" s="20"/>
      <x:c r="H50" s="52" t="str">
        <x:f>IF(A50="","",ROUND(SUMIFS('Movimentações'!$E$2:$E$501,'Movimentações'!$B$2:$B$501,"Aporte objetivo",'Movimentações'!$G$2:$G$501,$A50),2))</x:f>
      </x:c>
      <x:c r="I50" s="52" t="str">
        <x:f>IF(A50="","",ROUND(SUMIFS('Movimentações'!$E$2:$E$501,'Movimentações'!$B$2:$B$501,"Retirada objetivo",'Movimentações'!$G$2:$G$501,$A50),2))</x:f>
      </x:c>
      <x:c r="J50" s="52" t="str">
        <x:f>IF(A50="","",ROUND(C50+H50-I50,2))</x:f>
      </x:c>
      <x:c r="K50" s="52" t="str">
        <x:f>IF(A50="","",MAX(0,ROUND(B50-J50,2)))</x:f>
      </x:c>
      <x:c r="L50" s="58" t="str">
        <x:f>IF(A50="","",IF(B50&gt;0,MIN(1,J50/B50),0))</x:f>
      </x:c>
      <x:c r="M50" s="20" t="str">
        <x:f>IF(A50="","",IF(K50&lt;=0,0,IF(E50&gt;0,ROUNDUP(K50/E50,0),"")))</x:f>
      </x:c>
      <x:c r="N50" s="52" t="str">
        <x:f>IF(OR(A50="",D50="",K50&lt;=0),"",ROUNDUP(K50/MAX(1,(YEAR(D50)-YEAR('Painel'!$B$3))*12+MONTH(D50)-MONTH('Painel'!$B$3)),2))</x:f>
      </x:c>
      <x:c r="O50" s="20" t="str">
        <x:f>IF(A50="","",IF(K50&lt;=0,"Atingida",IF(D50="","Sem prazo",IF(E50&gt;=N50,"Viável","Pode não caber"))))</x:f>
      </x:c>
    </x:row>
    <x:row r="51">
      <x:c r="A51" s="20"/>
      <x:c r="B51" s="52"/>
      <x:c r="C51" s="52"/>
      <x:c r="D51" s="50"/>
      <x:c r="E51" s="52"/>
      <x:c r="F51" s="20"/>
      <x:c r="G51" s="20"/>
      <x:c r="H51" s="52" t="str">
        <x:f>IF(A51="","",ROUND(SUMIFS('Movimentações'!$E$2:$E$501,'Movimentações'!$B$2:$B$501,"Aporte objetivo",'Movimentações'!$G$2:$G$501,$A51),2))</x:f>
      </x:c>
      <x:c r="I51" s="52" t="str">
        <x:f>IF(A51="","",ROUND(SUMIFS('Movimentações'!$E$2:$E$501,'Movimentações'!$B$2:$B$501,"Retirada objetivo",'Movimentações'!$G$2:$G$501,$A51),2))</x:f>
      </x:c>
      <x:c r="J51" s="52" t="str">
        <x:f>IF(A51="","",ROUND(C51+H51-I51,2))</x:f>
      </x:c>
      <x:c r="K51" s="52" t="str">
        <x:f>IF(A51="","",MAX(0,ROUND(B51-J51,2)))</x:f>
      </x:c>
      <x:c r="L51" s="58" t="str">
        <x:f>IF(A51="","",IF(B51&gt;0,MIN(1,J51/B51),0))</x:f>
      </x:c>
      <x:c r="M51" s="20" t="str">
        <x:f>IF(A51="","",IF(K51&lt;=0,0,IF(E51&gt;0,ROUNDUP(K51/E51,0),"")))</x:f>
      </x:c>
      <x:c r="N51" s="52" t="str">
        <x:f>IF(OR(A51="",D51="",K51&lt;=0),"",ROUNDUP(K51/MAX(1,(YEAR(D51)-YEAR('Painel'!$B$3))*12+MONTH(D51)-MONTH('Painel'!$B$3)),2))</x:f>
      </x:c>
      <x:c r="O51" s="20" t="str">
        <x:f>IF(A51="","",IF(K51&lt;=0,"Atingida",IF(D51="","Sem prazo",IF(E51&gt;=N51,"Viável","Pode não caber"))))</x:f>
      </x:c>
    </x:row>
    <x:row r="52">
      <x:c r="A52" s="20"/>
      <x:c r="B52" s="52"/>
      <x:c r="C52" s="52"/>
      <x:c r="D52" s="50"/>
      <x:c r="E52" s="52"/>
      <x:c r="F52" s="20"/>
      <x:c r="G52" s="20"/>
      <x:c r="H52" s="52" t="str">
        <x:f>IF(A52="","",ROUND(SUMIFS('Movimentações'!$E$2:$E$501,'Movimentações'!$B$2:$B$501,"Aporte objetivo",'Movimentações'!$G$2:$G$501,$A52),2))</x:f>
      </x:c>
      <x:c r="I52" s="52" t="str">
        <x:f>IF(A52="","",ROUND(SUMIFS('Movimentações'!$E$2:$E$501,'Movimentações'!$B$2:$B$501,"Retirada objetivo",'Movimentações'!$G$2:$G$501,$A52),2))</x:f>
      </x:c>
      <x:c r="J52" s="52" t="str">
        <x:f>IF(A52="","",ROUND(C52+H52-I52,2))</x:f>
      </x:c>
      <x:c r="K52" s="52" t="str">
        <x:f>IF(A52="","",MAX(0,ROUND(B52-J52,2)))</x:f>
      </x:c>
      <x:c r="L52" s="58" t="str">
        <x:f>IF(A52="","",IF(B52&gt;0,MIN(1,J52/B52),0))</x:f>
      </x:c>
      <x:c r="M52" s="20" t="str">
        <x:f>IF(A52="","",IF(K52&lt;=0,0,IF(E52&gt;0,ROUNDUP(K52/E52,0),"")))</x:f>
      </x:c>
      <x:c r="N52" s="52" t="str">
        <x:f>IF(OR(A52="",D52="",K52&lt;=0),"",ROUNDUP(K52/MAX(1,(YEAR(D52)-YEAR('Painel'!$B$3))*12+MONTH(D52)-MONTH('Painel'!$B$3)),2))</x:f>
      </x:c>
      <x:c r="O52" s="20" t="str">
        <x:f>IF(A52="","",IF(K52&lt;=0,"Atingida",IF(D52="","Sem prazo",IF(E52&gt;=N52,"Viável","Pode não caber"))))</x:f>
      </x:c>
    </x:row>
    <x:row r="53">
      <x:c r="A53" s="20"/>
      <x:c r="B53" s="52"/>
      <x:c r="C53" s="52"/>
      <x:c r="D53" s="50"/>
      <x:c r="E53" s="52"/>
      <x:c r="F53" s="20"/>
      <x:c r="G53" s="20"/>
      <x:c r="H53" s="52" t="str">
        <x:f>IF(A53="","",ROUND(SUMIFS('Movimentações'!$E$2:$E$501,'Movimentações'!$B$2:$B$501,"Aporte objetivo",'Movimentações'!$G$2:$G$501,$A53),2))</x:f>
      </x:c>
      <x:c r="I53" s="52" t="str">
        <x:f>IF(A53="","",ROUND(SUMIFS('Movimentações'!$E$2:$E$501,'Movimentações'!$B$2:$B$501,"Retirada objetivo",'Movimentações'!$G$2:$G$501,$A53),2))</x:f>
      </x:c>
      <x:c r="J53" s="52" t="str">
        <x:f>IF(A53="","",ROUND(C53+H53-I53,2))</x:f>
      </x:c>
      <x:c r="K53" s="52" t="str">
        <x:f>IF(A53="","",MAX(0,ROUND(B53-J53,2)))</x:f>
      </x:c>
      <x:c r="L53" s="58" t="str">
        <x:f>IF(A53="","",IF(B53&gt;0,MIN(1,J53/B53),0))</x:f>
      </x:c>
      <x:c r="M53" s="20" t="str">
        <x:f>IF(A53="","",IF(K53&lt;=0,0,IF(E53&gt;0,ROUNDUP(K53/E53,0),"")))</x:f>
      </x:c>
      <x:c r="N53" s="52" t="str">
        <x:f>IF(OR(A53="",D53="",K53&lt;=0),"",ROUNDUP(K53/MAX(1,(YEAR(D53)-YEAR('Painel'!$B$3))*12+MONTH(D53)-MONTH('Painel'!$B$3)),2))</x:f>
      </x:c>
      <x:c r="O53" s="20" t="str">
        <x:f>IF(A53="","",IF(K53&lt;=0,"Atingida",IF(D53="","Sem prazo",IF(E53&gt;=N53,"Viável","Pode não caber"))))</x:f>
      </x:c>
    </x:row>
    <x:row r="54">
      <x:c r="A54" s="20"/>
      <x:c r="B54" s="52"/>
      <x:c r="C54" s="52"/>
      <x:c r="D54" s="50"/>
      <x:c r="E54" s="52"/>
      <x:c r="F54" s="20"/>
      <x:c r="G54" s="20"/>
      <x:c r="H54" s="52" t="str">
        <x:f>IF(A54="","",ROUND(SUMIFS('Movimentações'!$E$2:$E$501,'Movimentações'!$B$2:$B$501,"Aporte objetivo",'Movimentações'!$G$2:$G$501,$A54),2))</x:f>
      </x:c>
      <x:c r="I54" s="52" t="str">
        <x:f>IF(A54="","",ROUND(SUMIFS('Movimentações'!$E$2:$E$501,'Movimentações'!$B$2:$B$501,"Retirada objetivo",'Movimentações'!$G$2:$G$501,$A54),2))</x:f>
      </x:c>
      <x:c r="J54" s="52" t="str">
        <x:f>IF(A54="","",ROUND(C54+H54-I54,2))</x:f>
      </x:c>
      <x:c r="K54" s="52" t="str">
        <x:f>IF(A54="","",MAX(0,ROUND(B54-J54,2)))</x:f>
      </x:c>
      <x:c r="L54" s="58" t="str">
        <x:f>IF(A54="","",IF(B54&gt;0,MIN(1,J54/B54),0))</x:f>
      </x:c>
      <x:c r="M54" s="20" t="str">
        <x:f>IF(A54="","",IF(K54&lt;=0,0,IF(E54&gt;0,ROUNDUP(K54/E54,0),"")))</x:f>
      </x:c>
      <x:c r="N54" s="52" t="str">
        <x:f>IF(OR(A54="",D54="",K54&lt;=0),"",ROUNDUP(K54/MAX(1,(YEAR(D54)-YEAR('Painel'!$B$3))*12+MONTH(D54)-MONTH('Painel'!$B$3)),2))</x:f>
      </x:c>
      <x:c r="O54" s="20" t="str">
        <x:f>IF(A54="","",IF(K54&lt;=0,"Atingida",IF(D54="","Sem prazo",IF(E54&gt;=N54,"Viável","Pode não caber"))))</x:f>
      </x:c>
    </x:row>
    <x:row r="55">
      <x:c r="A55" s="20"/>
      <x:c r="B55" s="52"/>
      <x:c r="C55" s="52"/>
      <x:c r="D55" s="50"/>
      <x:c r="E55" s="52"/>
      <x:c r="F55" s="20"/>
      <x:c r="G55" s="20"/>
      <x:c r="H55" s="52" t="str">
        <x:f>IF(A55="","",ROUND(SUMIFS('Movimentações'!$E$2:$E$501,'Movimentações'!$B$2:$B$501,"Aporte objetivo",'Movimentações'!$G$2:$G$501,$A55),2))</x:f>
      </x:c>
      <x:c r="I55" s="52" t="str">
        <x:f>IF(A55="","",ROUND(SUMIFS('Movimentações'!$E$2:$E$501,'Movimentações'!$B$2:$B$501,"Retirada objetivo",'Movimentações'!$G$2:$G$501,$A55),2))</x:f>
      </x:c>
      <x:c r="J55" s="52" t="str">
        <x:f>IF(A55="","",ROUND(C55+H55-I55,2))</x:f>
      </x:c>
      <x:c r="K55" s="52" t="str">
        <x:f>IF(A55="","",MAX(0,ROUND(B55-J55,2)))</x:f>
      </x:c>
      <x:c r="L55" s="58" t="str">
        <x:f>IF(A55="","",IF(B55&gt;0,MIN(1,J55/B55),0))</x:f>
      </x:c>
      <x:c r="M55" s="20" t="str">
        <x:f>IF(A55="","",IF(K55&lt;=0,0,IF(E55&gt;0,ROUNDUP(K55/E55,0),"")))</x:f>
      </x:c>
      <x:c r="N55" s="52" t="str">
        <x:f>IF(OR(A55="",D55="",K55&lt;=0),"",ROUNDUP(K55/MAX(1,(YEAR(D55)-YEAR('Painel'!$B$3))*12+MONTH(D55)-MONTH('Painel'!$B$3)),2))</x:f>
      </x:c>
      <x:c r="O55" s="20" t="str">
        <x:f>IF(A55="","",IF(K55&lt;=0,"Atingida",IF(D55="","Sem prazo",IF(E55&gt;=N55,"Viável","Pode não caber"))))</x:f>
      </x:c>
    </x:row>
    <x:row r="56">
      <x:c r="A56" s="20"/>
      <x:c r="B56" s="52"/>
      <x:c r="C56" s="52"/>
      <x:c r="D56" s="50"/>
      <x:c r="E56" s="52"/>
      <x:c r="F56" s="20"/>
      <x:c r="G56" s="20"/>
      <x:c r="H56" s="52" t="str">
        <x:f>IF(A56="","",ROUND(SUMIFS('Movimentações'!$E$2:$E$501,'Movimentações'!$B$2:$B$501,"Aporte objetivo",'Movimentações'!$G$2:$G$501,$A56),2))</x:f>
      </x:c>
      <x:c r="I56" s="52" t="str">
        <x:f>IF(A56="","",ROUND(SUMIFS('Movimentações'!$E$2:$E$501,'Movimentações'!$B$2:$B$501,"Retirada objetivo",'Movimentações'!$G$2:$G$501,$A56),2))</x:f>
      </x:c>
      <x:c r="J56" s="52" t="str">
        <x:f>IF(A56="","",ROUND(C56+H56-I56,2))</x:f>
      </x:c>
      <x:c r="K56" s="52" t="str">
        <x:f>IF(A56="","",MAX(0,ROUND(B56-J56,2)))</x:f>
      </x:c>
      <x:c r="L56" s="58" t="str">
        <x:f>IF(A56="","",IF(B56&gt;0,MIN(1,J56/B56),0))</x:f>
      </x:c>
      <x:c r="M56" s="20" t="str">
        <x:f>IF(A56="","",IF(K56&lt;=0,0,IF(E56&gt;0,ROUNDUP(K56/E56,0),"")))</x:f>
      </x:c>
      <x:c r="N56" s="52" t="str">
        <x:f>IF(OR(A56="",D56="",K56&lt;=0),"",ROUNDUP(K56/MAX(1,(YEAR(D56)-YEAR('Painel'!$B$3))*12+MONTH(D56)-MONTH('Painel'!$B$3)),2))</x:f>
      </x:c>
      <x:c r="O56" s="20" t="str">
        <x:f>IF(A56="","",IF(K56&lt;=0,"Atingida",IF(D56="","Sem prazo",IF(E56&gt;=N56,"Viável","Pode não caber"))))</x:f>
      </x:c>
    </x:row>
    <x:row r="57">
      <x:c r="A57" s="20"/>
      <x:c r="B57" s="52"/>
      <x:c r="C57" s="52"/>
      <x:c r="D57" s="50"/>
      <x:c r="E57" s="52"/>
      <x:c r="F57" s="20"/>
      <x:c r="G57" s="20"/>
      <x:c r="H57" s="52" t="str">
        <x:f>IF(A57="","",ROUND(SUMIFS('Movimentações'!$E$2:$E$501,'Movimentações'!$B$2:$B$501,"Aporte objetivo",'Movimentações'!$G$2:$G$501,$A57),2))</x:f>
      </x:c>
      <x:c r="I57" s="52" t="str">
        <x:f>IF(A57="","",ROUND(SUMIFS('Movimentações'!$E$2:$E$501,'Movimentações'!$B$2:$B$501,"Retirada objetivo",'Movimentações'!$G$2:$G$501,$A57),2))</x:f>
      </x:c>
      <x:c r="J57" s="52" t="str">
        <x:f>IF(A57="","",ROUND(C57+H57-I57,2))</x:f>
      </x:c>
      <x:c r="K57" s="52" t="str">
        <x:f>IF(A57="","",MAX(0,ROUND(B57-J57,2)))</x:f>
      </x:c>
      <x:c r="L57" s="58" t="str">
        <x:f>IF(A57="","",IF(B57&gt;0,MIN(1,J57/B57),0))</x:f>
      </x:c>
      <x:c r="M57" s="20" t="str">
        <x:f>IF(A57="","",IF(K57&lt;=0,0,IF(E57&gt;0,ROUNDUP(K57/E57,0),"")))</x:f>
      </x:c>
      <x:c r="N57" s="52" t="str">
        <x:f>IF(OR(A57="",D57="",K57&lt;=0),"",ROUNDUP(K57/MAX(1,(YEAR(D57)-YEAR('Painel'!$B$3))*12+MONTH(D57)-MONTH('Painel'!$B$3)),2))</x:f>
      </x:c>
      <x:c r="O57" s="20" t="str">
        <x:f>IF(A57="","",IF(K57&lt;=0,"Atingida",IF(D57="","Sem prazo",IF(E57&gt;=N57,"Viável","Pode não caber"))))</x:f>
      </x:c>
    </x:row>
    <x:row r="58">
      <x:c r="A58" s="20"/>
      <x:c r="B58" s="52"/>
      <x:c r="C58" s="52"/>
      <x:c r="D58" s="50"/>
      <x:c r="E58" s="52"/>
      <x:c r="F58" s="20"/>
      <x:c r="G58" s="20"/>
      <x:c r="H58" s="52" t="str">
        <x:f>IF(A58="","",ROUND(SUMIFS('Movimentações'!$E$2:$E$501,'Movimentações'!$B$2:$B$501,"Aporte objetivo",'Movimentações'!$G$2:$G$501,$A58),2))</x:f>
      </x:c>
      <x:c r="I58" s="52" t="str">
        <x:f>IF(A58="","",ROUND(SUMIFS('Movimentações'!$E$2:$E$501,'Movimentações'!$B$2:$B$501,"Retirada objetivo",'Movimentações'!$G$2:$G$501,$A58),2))</x:f>
      </x:c>
      <x:c r="J58" s="52" t="str">
        <x:f>IF(A58="","",ROUND(C58+H58-I58,2))</x:f>
      </x:c>
      <x:c r="K58" s="52" t="str">
        <x:f>IF(A58="","",MAX(0,ROUND(B58-J58,2)))</x:f>
      </x:c>
      <x:c r="L58" s="58" t="str">
        <x:f>IF(A58="","",IF(B58&gt;0,MIN(1,J58/B58),0))</x:f>
      </x:c>
      <x:c r="M58" s="20" t="str">
        <x:f>IF(A58="","",IF(K58&lt;=0,0,IF(E58&gt;0,ROUNDUP(K58/E58,0),"")))</x:f>
      </x:c>
      <x:c r="N58" s="52" t="str">
        <x:f>IF(OR(A58="",D58="",K58&lt;=0),"",ROUNDUP(K58/MAX(1,(YEAR(D58)-YEAR('Painel'!$B$3))*12+MONTH(D58)-MONTH('Painel'!$B$3)),2))</x:f>
      </x:c>
      <x:c r="O58" s="20" t="str">
        <x:f>IF(A58="","",IF(K58&lt;=0,"Atingida",IF(D58="","Sem prazo",IF(E58&gt;=N58,"Viável","Pode não caber"))))</x:f>
      </x:c>
    </x:row>
    <x:row r="59">
      <x:c r="A59" s="20"/>
      <x:c r="B59" s="52"/>
      <x:c r="C59" s="52"/>
      <x:c r="D59" s="50"/>
      <x:c r="E59" s="52"/>
      <x:c r="F59" s="20"/>
      <x:c r="G59" s="20"/>
      <x:c r="H59" s="52" t="str">
        <x:f>IF(A59="","",ROUND(SUMIFS('Movimentações'!$E$2:$E$501,'Movimentações'!$B$2:$B$501,"Aporte objetivo",'Movimentações'!$G$2:$G$501,$A59),2))</x:f>
      </x:c>
      <x:c r="I59" s="52" t="str">
        <x:f>IF(A59="","",ROUND(SUMIFS('Movimentações'!$E$2:$E$501,'Movimentações'!$B$2:$B$501,"Retirada objetivo",'Movimentações'!$G$2:$G$501,$A59),2))</x:f>
      </x:c>
      <x:c r="J59" s="52" t="str">
        <x:f>IF(A59="","",ROUND(C59+H59-I59,2))</x:f>
      </x:c>
      <x:c r="K59" s="52" t="str">
        <x:f>IF(A59="","",MAX(0,ROUND(B59-J59,2)))</x:f>
      </x:c>
      <x:c r="L59" s="58" t="str">
        <x:f>IF(A59="","",IF(B59&gt;0,MIN(1,J59/B59),0))</x:f>
      </x:c>
      <x:c r="M59" s="20" t="str">
        <x:f>IF(A59="","",IF(K59&lt;=0,0,IF(E59&gt;0,ROUNDUP(K59/E59,0),"")))</x:f>
      </x:c>
      <x:c r="N59" s="52" t="str">
        <x:f>IF(OR(A59="",D59="",K59&lt;=0),"",ROUNDUP(K59/MAX(1,(YEAR(D59)-YEAR('Painel'!$B$3))*12+MONTH(D59)-MONTH('Painel'!$B$3)),2))</x:f>
      </x:c>
      <x:c r="O59" s="20" t="str">
        <x:f>IF(A59="","",IF(K59&lt;=0,"Atingida",IF(D59="","Sem prazo",IF(E59&gt;=N59,"Viável","Pode não caber"))))</x:f>
      </x:c>
    </x:row>
    <x:row r="60">
      <x:c r="A60" s="20"/>
      <x:c r="B60" s="52"/>
      <x:c r="C60" s="52"/>
      <x:c r="D60" s="50"/>
      <x:c r="E60" s="52"/>
      <x:c r="F60" s="20"/>
      <x:c r="G60" s="20"/>
      <x:c r="H60" s="52" t="str">
        <x:f>IF(A60="","",ROUND(SUMIFS('Movimentações'!$E$2:$E$501,'Movimentações'!$B$2:$B$501,"Aporte objetivo",'Movimentações'!$G$2:$G$501,$A60),2))</x:f>
      </x:c>
      <x:c r="I60" s="52" t="str">
        <x:f>IF(A60="","",ROUND(SUMIFS('Movimentações'!$E$2:$E$501,'Movimentações'!$B$2:$B$501,"Retirada objetivo",'Movimentações'!$G$2:$G$501,$A60),2))</x:f>
      </x:c>
      <x:c r="J60" s="52" t="str">
        <x:f>IF(A60="","",ROUND(C60+H60-I60,2))</x:f>
      </x:c>
      <x:c r="K60" s="52" t="str">
        <x:f>IF(A60="","",MAX(0,ROUND(B60-J60,2)))</x:f>
      </x:c>
      <x:c r="L60" s="58" t="str">
        <x:f>IF(A60="","",IF(B60&gt;0,MIN(1,J60/B60),0))</x:f>
      </x:c>
      <x:c r="M60" s="20" t="str">
        <x:f>IF(A60="","",IF(K60&lt;=0,0,IF(E60&gt;0,ROUNDUP(K60/E60,0),"")))</x:f>
      </x:c>
      <x:c r="N60" s="52" t="str">
        <x:f>IF(OR(A60="",D60="",K60&lt;=0),"",ROUNDUP(K60/MAX(1,(YEAR(D60)-YEAR('Painel'!$B$3))*12+MONTH(D60)-MONTH('Painel'!$B$3)),2))</x:f>
      </x:c>
      <x:c r="O60" s="20" t="str">
        <x:f>IF(A60="","",IF(K60&lt;=0,"Atingida",IF(D60="","Sem prazo",IF(E60&gt;=N60,"Viável","Pode não caber"))))</x:f>
      </x:c>
    </x:row>
    <x:row r="61">
      <x:c r="A61" s="20"/>
      <x:c r="B61" s="52"/>
      <x:c r="C61" s="52"/>
      <x:c r="D61" s="50"/>
      <x:c r="E61" s="52"/>
      <x:c r="F61" s="20"/>
      <x:c r="G61" s="20"/>
      <x:c r="H61" s="52" t="str">
        <x:f>IF(A61="","",ROUND(SUMIFS('Movimentações'!$E$2:$E$501,'Movimentações'!$B$2:$B$501,"Aporte objetivo",'Movimentações'!$G$2:$G$501,$A61),2))</x:f>
      </x:c>
      <x:c r="I61" s="52" t="str">
        <x:f>IF(A61="","",ROUND(SUMIFS('Movimentações'!$E$2:$E$501,'Movimentações'!$B$2:$B$501,"Retirada objetivo",'Movimentações'!$G$2:$G$501,$A61),2))</x:f>
      </x:c>
      <x:c r="J61" s="52" t="str">
        <x:f>IF(A61="","",ROUND(C61+H61-I61,2))</x:f>
      </x:c>
      <x:c r="K61" s="52" t="str">
        <x:f>IF(A61="","",MAX(0,ROUND(B61-J61,2)))</x:f>
      </x:c>
      <x:c r="L61" s="58" t="str">
        <x:f>IF(A61="","",IF(B61&gt;0,MIN(1,J61/B61),0))</x:f>
      </x:c>
      <x:c r="M61" s="20" t="str">
        <x:f>IF(A61="","",IF(K61&lt;=0,0,IF(E61&gt;0,ROUNDUP(K61/E61,0),"")))</x:f>
      </x:c>
      <x:c r="N61" s="52" t="str">
        <x:f>IF(OR(A61="",D61="",K61&lt;=0),"",ROUNDUP(K61/MAX(1,(YEAR(D61)-YEAR('Painel'!$B$3))*12+MONTH(D61)-MONTH('Painel'!$B$3)),2))</x:f>
      </x:c>
      <x:c r="O61" s="20" t="str">
        <x:f>IF(A61="","",IF(K61&lt;=0,"Atingida",IF(D61="","Sem prazo",IF(E61&gt;=N61,"Viável","Pode não caber"))))</x:f>
      </x:c>
    </x:row>
    <x:row r="62">
      <x:c r="A62" s="20"/>
      <x:c r="B62" s="52"/>
      <x:c r="C62" s="52"/>
      <x:c r="D62" s="50"/>
      <x:c r="E62" s="52"/>
      <x:c r="F62" s="20"/>
      <x:c r="G62" s="20"/>
      <x:c r="H62" s="52" t="str">
        <x:f>IF(A62="","",ROUND(SUMIFS('Movimentações'!$E$2:$E$501,'Movimentações'!$B$2:$B$501,"Aporte objetivo",'Movimentações'!$G$2:$G$501,$A62),2))</x:f>
      </x:c>
      <x:c r="I62" s="52" t="str">
        <x:f>IF(A62="","",ROUND(SUMIFS('Movimentações'!$E$2:$E$501,'Movimentações'!$B$2:$B$501,"Retirada objetivo",'Movimentações'!$G$2:$G$501,$A62),2))</x:f>
      </x:c>
      <x:c r="J62" s="52" t="str">
        <x:f>IF(A62="","",ROUND(C62+H62-I62,2))</x:f>
      </x:c>
      <x:c r="K62" s="52" t="str">
        <x:f>IF(A62="","",MAX(0,ROUND(B62-J62,2)))</x:f>
      </x:c>
      <x:c r="L62" s="58" t="str">
        <x:f>IF(A62="","",IF(B62&gt;0,MIN(1,J62/B62),0))</x:f>
      </x:c>
      <x:c r="M62" s="20" t="str">
        <x:f>IF(A62="","",IF(K62&lt;=0,0,IF(E62&gt;0,ROUNDUP(K62/E62,0),"")))</x:f>
      </x:c>
      <x:c r="N62" s="52" t="str">
        <x:f>IF(OR(A62="",D62="",K62&lt;=0),"",ROUNDUP(K62/MAX(1,(YEAR(D62)-YEAR('Painel'!$B$3))*12+MONTH(D62)-MONTH('Painel'!$B$3)),2))</x:f>
      </x:c>
      <x:c r="O62" s="20" t="str">
        <x:f>IF(A62="","",IF(K62&lt;=0,"Atingida",IF(D62="","Sem prazo",IF(E62&gt;=N62,"Viável","Pode não caber"))))</x:f>
      </x:c>
    </x:row>
    <x:row r="63">
      <x:c r="A63" s="20"/>
      <x:c r="B63" s="52"/>
      <x:c r="C63" s="52"/>
      <x:c r="D63" s="50"/>
      <x:c r="E63" s="52"/>
      <x:c r="F63" s="20"/>
      <x:c r="G63" s="20"/>
      <x:c r="H63" s="52" t="str">
        <x:f>IF(A63="","",ROUND(SUMIFS('Movimentações'!$E$2:$E$501,'Movimentações'!$B$2:$B$501,"Aporte objetivo",'Movimentações'!$G$2:$G$501,$A63),2))</x:f>
      </x:c>
      <x:c r="I63" s="52" t="str">
        <x:f>IF(A63="","",ROUND(SUMIFS('Movimentações'!$E$2:$E$501,'Movimentações'!$B$2:$B$501,"Retirada objetivo",'Movimentações'!$G$2:$G$501,$A63),2))</x:f>
      </x:c>
      <x:c r="J63" s="52" t="str">
        <x:f>IF(A63="","",ROUND(C63+H63-I63,2))</x:f>
      </x:c>
      <x:c r="K63" s="52" t="str">
        <x:f>IF(A63="","",MAX(0,ROUND(B63-J63,2)))</x:f>
      </x:c>
      <x:c r="L63" s="58" t="str">
        <x:f>IF(A63="","",IF(B63&gt;0,MIN(1,J63/B63),0))</x:f>
      </x:c>
      <x:c r="M63" s="20" t="str">
        <x:f>IF(A63="","",IF(K63&lt;=0,0,IF(E63&gt;0,ROUNDUP(K63/E63,0),"")))</x:f>
      </x:c>
      <x:c r="N63" s="52" t="str">
        <x:f>IF(OR(A63="",D63="",K63&lt;=0),"",ROUNDUP(K63/MAX(1,(YEAR(D63)-YEAR('Painel'!$B$3))*12+MONTH(D63)-MONTH('Painel'!$B$3)),2))</x:f>
      </x:c>
      <x:c r="O63" s="20" t="str">
        <x:f>IF(A63="","",IF(K63&lt;=0,"Atingida",IF(D63="","Sem prazo",IF(E63&gt;=N63,"Viável","Pode não caber"))))</x:f>
      </x:c>
    </x:row>
    <x:row r="64">
      <x:c r="A64" s="20"/>
      <x:c r="B64" s="52"/>
      <x:c r="C64" s="52"/>
      <x:c r="D64" s="50"/>
      <x:c r="E64" s="52"/>
      <x:c r="F64" s="20"/>
      <x:c r="G64" s="20"/>
      <x:c r="H64" s="52" t="str">
        <x:f>IF(A64="","",ROUND(SUMIFS('Movimentações'!$E$2:$E$501,'Movimentações'!$B$2:$B$501,"Aporte objetivo",'Movimentações'!$G$2:$G$501,$A64),2))</x:f>
      </x:c>
      <x:c r="I64" s="52" t="str">
        <x:f>IF(A64="","",ROUND(SUMIFS('Movimentações'!$E$2:$E$501,'Movimentações'!$B$2:$B$501,"Retirada objetivo",'Movimentações'!$G$2:$G$501,$A64),2))</x:f>
      </x:c>
      <x:c r="J64" s="52" t="str">
        <x:f>IF(A64="","",ROUND(C64+H64-I64,2))</x:f>
      </x:c>
      <x:c r="K64" s="52" t="str">
        <x:f>IF(A64="","",MAX(0,ROUND(B64-J64,2)))</x:f>
      </x:c>
      <x:c r="L64" s="58" t="str">
        <x:f>IF(A64="","",IF(B64&gt;0,MIN(1,J64/B64),0))</x:f>
      </x:c>
      <x:c r="M64" s="20" t="str">
        <x:f>IF(A64="","",IF(K64&lt;=0,0,IF(E64&gt;0,ROUNDUP(K64/E64,0),"")))</x:f>
      </x:c>
      <x:c r="N64" s="52" t="str">
        <x:f>IF(OR(A64="",D64="",K64&lt;=0),"",ROUNDUP(K64/MAX(1,(YEAR(D64)-YEAR('Painel'!$B$3))*12+MONTH(D64)-MONTH('Painel'!$B$3)),2))</x:f>
      </x:c>
      <x:c r="O64" s="20" t="str">
        <x:f>IF(A64="","",IF(K64&lt;=0,"Atingida",IF(D64="","Sem prazo",IF(E64&gt;=N64,"Viável","Pode não caber"))))</x:f>
      </x:c>
    </x:row>
    <x:row r="65">
      <x:c r="A65" s="20"/>
      <x:c r="B65" s="52"/>
      <x:c r="C65" s="52"/>
      <x:c r="D65" s="50"/>
      <x:c r="E65" s="52"/>
      <x:c r="F65" s="20"/>
      <x:c r="G65" s="20"/>
      <x:c r="H65" s="52" t="str">
        <x:f>IF(A65="","",ROUND(SUMIFS('Movimentações'!$E$2:$E$501,'Movimentações'!$B$2:$B$501,"Aporte objetivo",'Movimentações'!$G$2:$G$501,$A65),2))</x:f>
      </x:c>
      <x:c r="I65" s="52" t="str">
        <x:f>IF(A65="","",ROUND(SUMIFS('Movimentações'!$E$2:$E$501,'Movimentações'!$B$2:$B$501,"Retirada objetivo",'Movimentações'!$G$2:$G$501,$A65),2))</x:f>
      </x:c>
      <x:c r="J65" s="52" t="str">
        <x:f>IF(A65="","",ROUND(C65+H65-I65,2))</x:f>
      </x:c>
      <x:c r="K65" s="52" t="str">
        <x:f>IF(A65="","",MAX(0,ROUND(B65-J65,2)))</x:f>
      </x:c>
      <x:c r="L65" s="58" t="str">
        <x:f>IF(A65="","",IF(B65&gt;0,MIN(1,J65/B65),0))</x:f>
      </x:c>
      <x:c r="M65" s="20" t="str">
        <x:f>IF(A65="","",IF(K65&lt;=0,0,IF(E65&gt;0,ROUNDUP(K65/E65,0),"")))</x:f>
      </x:c>
      <x:c r="N65" s="52" t="str">
        <x:f>IF(OR(A65="",D65="",K65&lt;=0),"",ROUNDUP(K65/MAX(1,(YEAR(D65)-YEAR('Painel'!$B$3))*12+MONTH(D65)-MONTH('Painel'!$B$3)),2))</x:f>
      </x:c>
      <x:c r="O65" s="20" t="str">
        <x:f>IF(A65="","",IF(K65&lt;=0,"Atingida",IF(D65="","Sem prazo",IF(E65&gt;=N65,"Viável","Pode não caber"))))</x:f>
      </x:c>
    </x:row>
    <x:row r="66">
      <x:c r="A66" s="20"/>
      <x:c r="B66" s="52"/>
      <x:c r="C66" s="52"/>
      <x:c r="D66" s="50"/>
      <x:c r="E66" s="52"/>
      <x:c r="F66" s="20"/>
      <x:c r="G66" s="20"/>
      <x:c r="H66" s="52" t="str">
        <x:f>IF(A66="","",ROUND(SUMIFS('Movimentações'!$E$2:$E$501,'Movimentações'!$B$2:$B$501,"Aporte objetivo",'Movimentações'!$G$2:$G$501,$A66),2))</x:f>
      </x:c>
      <x:c r="I66" s="52" t="str">
        <x:f>IF(A66="","",ROUND(SUMIFS('Movimentações'!$E$2:$E$501,'Movimentações'!$B$2:$B$501,"Retirada objetivo",'Movimentações'!$G$2:$G$501,$A66),2))</x:f>
      </x:c>
      <x:c r="J66" s="52" t="str">
        <x:f>IF(A66="","",ROUND(C66+H66-I66,2))</x:f>
      </x:c>
      <x:c r="K66" s="52" t="str">
        <x:f>IF(A66="","",MAX(0,ROUND(B66-J66,2)))</x:f>
      </x:c>
      <x:c r="L66" s="58" t="str">
        <x:f>IF(A66="","",IF(B66&gt;0,MIN(1,J66/B66),0))</x:f>
      </x:c>
      <x:c r="M66" s="20" t="str">
        <x:f>IF(A66="","",IF(K66&lt;=0,0,IF(E66&gt;0,ROUNDUP(K66/E66,0),"")))</x:f>
      </x:c>
      <x:c r="N66" s="52" t="str">
        <x:f>IF(OR(A66="",D66="",K66&lt;=0),"",ROUNDUP(K66/MAX(1,(YEAR(D66)-YEAR('Painel'!$B$3))*12+MONTH(D66)-MONTH('Painel'!$B$3)),2))</x:f>
      </x:c>
      <x:c r="O66" s="20" t="str">
        <x:f>IF(A66="","",IF(K66&lt;=0,"Atingida",IF(D66="","Sem prazo",IF(E66&gt;=N66,"Viável","Pode não caber"))))</x:f>
      </x:c>
    </x:row>
    <x:row r="67">
      <x:c r="A67" s="20"/>
      <x:c r="B67" s="52"/>
      <x:c r="C67" s="52"/>
      <x:c r="D67" s="50"/>
      <x:c r="E67" s="52"/>
      <x:c r="F67" s="20"/>
      <x:c r="G67" s="20"/>
      <x:c r="H67" s="52" t="str">
        <x:f>IF(A67="","",ROUND(SUMIFS('Movimentações'!$E$2:$E$501,'Movimentações'!$B$2:$B$501,"Aporte objetivo",'Movimentações'!$G$2:$G$501,$A67),2))</x:f>
      </x:c>
      <x:c r="I67" s="52" t="str">
        <x:f>IF(A67="","",ROUND(SUMIFS('Movimentações'!$E$2:$E$501,'Movimentações'!$B$2:$B$501,"Retirada objetivo",'Movimentações'!$G$2:$G$501,$A67),2))</x:f>
      </x:c>
      <x:c r="J67" s="52" t="str">
        <x:f>IF(A67="","",ROUND(C67+H67-I67,2))</x:f>
      </x:c>
      <x:c r="K67" s="52" t="str">
        <x:f>IF(A67="","",MAX(0,ROUND(B67-J67,2)))</x:f>
      </x:c>
      <x:c r="L67" s="58" t="str">
        <x:f>IF(A67="","",IF(B67&gt;0,MIN(1,J67/B67),0))</x:f>
      </x:c>
      <x:c r="M67" s="20" t="str">
        <x:f>IF(A67="","",IF(K67&lt;=0,0,IF(E67&gt;0,ROUNDUP(K67/E67,0),"")))</x:f>
      </x:c>
      <x:c r="N67" s="52" t="str">
        <x:f>IF(OR(A67="",D67="",K67&lt;=0),"",ROUNDUP(K67/MAX(1,(YEAR(D67)-YEAR('Painel'!$B$3))*12+MONTH(D67)-MONTH('Painel'!$B$3)),2))</x:f>
      </x:c>
      <x:c r="O67" s="20" t="str">
        <x:f>IF(A67="","",IF(K67&lt;=0,"Atingida",IF(D67="","Sem prazo",IF(E67&gt;=N67,"Viável","Pode não caber"))))</x:f>
      </x:c>
    </x:row>
    <x:row r="68">
      <x:c r="A68" s="20"/>
      <x:c r="B68" s="52"/>
      <x:c r="C68" s="52"/>
      <x:c r="D68" s="50"/>
      <x:c r="E68" s="52"/>
      <x:c r="F68" s="20"/>
      <x:c r="G68" s="20"/>
      <x:c r="H68" s="52" t="str">
        <x:f>IF(A68="","",ROUND(SUMIFS('Movimentações'!$E$2:$E$501,'Movimentações'!$B$2:$B$501,"Aporte objetivo",'Movimentações'!$G$2:$G$501,$A68),2))</x:f>
      </x:c>
      <x:c r="I68" s="52" t="str">
        <x:f>IF(A68="","",ROUND(SUMIFS('Movimentações'!$E$2:$E$501,'Movimentações'!$B$2:$B$501,"Retirada objetivo",'Movimentações'!$G$2:$G$501,$A68),2))</x:f>
      </x:c>
      <x:c r="J68" s="52" t="str">
        <x:f>IF(A68="","",ROUND(C68+H68-I68,2))</x:f>
      </x:c>
      <x:c r="K68" s="52" t="str">
        <x:f>IF(A68="","",MAX(0,ROUND(B68-J68,2)))</x:f>
      </x:c>
      <x:c r="L68" s="58" t="str">
        <x:f>IF(A68="","",IF(B68&gt;0,MIN(1,J68/B68),0))</x:f>
      </x:c>
      <x:c r="M68" s="20" t="str">
        <x:f>IF(A68="","",IF(K68&lt;=0,0,IF(E68&gt;0,ROUNDUP(K68/E68,0),"")))</x:f>
      </x:c>
      <x:c r="N68" s="52" t="str">
        <x:f>IF(OR(A68="",D68="",K68&lt;=0),"",ROUNDUP(K68/MAX(1,(YEAR(D68)-YEAR('Painel'!$B$3))*12+MONTH(D68)-MONTH('Painel'!$B$3)),2))</x:f>
      </x:c>
      <x:c r="O68" s="20" t="str">
        <x:f>IF(A68="","",IF(K68&lt;=0,"Atingida",IF(D68="","Sem prazo",IF(E68&gt;=N68,"Viável","Pode não caber"))))</x:f>
      </x:c>
    </x:row>
    <x:row r="69">
      <x:c r="A69" s="20"/>
      <x:c r="B69" s="52"/>
      <x:c r="C69" s="52"/>
      <x:c r="D69" s="50"/>
      <x:c r="E69" s="52"/>
      <x:c r="F69" s="20"/>
      <x:c r="G69" s="20"/>
      <x:c r="H69" s="52" t="str">
        <x:f>IF(A69="","",ROUND(SUMIFS('Movimentações'!$E$2:$E$501,'Movimentações'!$B$2:$B$501,"Aporte objetivo",'Movimentações'!$G$2:$G$501,$A69),2))</x:f>
      </x:c>
      <x:c r="I69" s="52" t="str">
        <x:f>IF(A69="","",ROUND(SUMIFS('Movimentações'!$E$2:$E$501,'Movimentações'!$B$2:$B$501,"Retirada objetivo",'Movimentações'!$G$2:$G$501,$A69),2))</x:f>
      </x:c>
      <x:c r="J69" s="52" t="str">
        <x:f>IF(A69="","",ROUND(C69+H69-I69,2))</x:f>
      </x:c>
      <x:c r="K69" s="52" t="str">
        <x:f>IF(A69="","",MAX(0,ROUND(B69-J69,2)))</x:f>
      </x:c>
      <x:c r="L69" s="58" t="str">
        <x:f>IF(A69="","",IF(B69&gt;0,MIN(1,J69/B69),0))</x:f>
      </x:c>
      <x:c r="M69" s="20" t="str">
        <x:f>IF(A69="","",IF(K69&lt;=0,0,IF(E69&gt;0,ROUNDUP(K69/E69,0),"")))</x:f>
      </x:c>
      <x:c r="N69" s="52" t="str">
        <x:f>IF(OR(A69="",D69="",K69&lt;=0),"",ROUNDUP(K69/MAX(1,(YEAR(D69)-YEAR('Painel'!$B$3))*12+MONTH(D69)-MONTH('Painel'!$B$3)),2))</x:f>
      </x:c>
      <x:c r="O69" s="20" t="str">
        <x:f>IF(A69="","",IF(K69&lt;=0,"Atingida",IF(D69="","Sem prazo",IF(E69&gt;=N69,"Viável","Pode não caber"))))</x:f>
      </x:c>
    </x:row>
    <x:row r="70">
      <x:c r="A70" s="20"/>
      <x:c r="B70" s="52"/>
      <x:c r="C70" s="52"/>
      <x:c r="D70" s="50"/>
      <x:c r="E70" s="52"/>
      <x:c r="F70" s="20"/>
      <x:c r="G70" s="20"/>
      <x:c r="H70" s="52" t="str">
        <x:f>IF(A70="","",ROUND(SUMIFS('Movimentações'!$E$2:$E$501,'Movimentações'!$B$2:$B$501,"Aporte objetivo",'Movimentações'!$G$2:$G$501,$A70),2))</x:f>
      </x:c>
      <x:c r="I70" s="52" t="str">
        <x:f>IF(A70="","",ROUND(SUMIFS('Movimentações'!$E$2:$E$501,'Movimentações'!$B$2:$B$501,"Retirada objetivo",'Movimentações'!$G$2:$G$501,$A70),2))</x:f>
      </x:c>
      <x:c r="J70" s="52" t="str">
        <x:f>IF(A70="","",ROUND(C70+H70-I70,2))</x:f>
      </x:c>
      <x:c r="K70" s="52" t="str">
        <x:f>IF(A70="","",MAX(0,ROUND(B70-J70,2)))</x:f>
      </x:c>
      <x:c r="L70" s="58" t="str">
        <x:f>IF(A70="","",IF(B70&gt;0,MIN(1,J70/B70),0))</x:f>
      </x:c>
      <x:c r="M70" s="20" t="str">
        <x:f>IF(A70="","",IF(K70&lt;=0,0,IF(E70&gt;0,ROUNDUP(K70/E70,0),"")))</x:f>
      </x:c>
      <x:c r="N70" s="52" t="str">
        <x:f>IF(OR(A70="",D70="",K70&lt;=0),"",ROUNDUP(K70/MAX(1,(YEAR(D70)-YEAR('Painel'!$B$3))*12+MONTH(D70)-MONTH('Painel'!$B$3)),2))</x:f>
      </x:c>
      <x:c r="O70" s="20" t="str">
        <x:f>IF(A70="","",IF(K70&lt;=0,"Atingida",IF(D70="","Sem prazo",IF(E70&gt;=N70,"Viável","Pode não caber"))))</x:f>
      </x:c>
    </x:row>
    <x:row r="71">
      <x:c r="A71" s="20"/>
      <x:c r="B71" s="52"/>
      <x:c r="C71" s="52"/>
      <x:c r="D71" s="50"/>
      <x:c r="E71" s="52"/>
      <x:c r="F71" s="20"/>
      <x:c r="G71" s="20"/>
      <x:c r="H71" s="52" t="str">
        <x:f>IF(A71="","",ROUND(SUMIFS('Movimentações'!$E$2:$E$501,'Movimentações'!$B$2:$B$501,"Aporte objetivo",'Movimentações'!$G$2:$G$501,$A71),2))</x:f>
      </x:c>
      <x:c r="I71" s="52" t="str">
        <x:f>IF(A71="","",ROUND(SUMIFS('Movimentações'!$E$2:$E$501,'Movimentações'!$B$2:$B$501,"Retirada objetivo",'Movimentações'!$G$2:$G$501,$A71),2))</x:f>
      </x:c>
      <x:c r="J71" s="52" t="str">
        <x:f>IF(A71="","",ROUND(C71+H71-I71,2))</x:f>
      </x:c>
      <x:c r="K71" s="52" t="str">
        <x:f>IF(A71="","",MAX(0,ROUND(B71-J71,2)))</x:f>
      </x:c>
      <x:c r="L71" s="58" t="str">
        <x:f>IF(A71="","",IF(B71&gt;0,MIN(1,J71/B71),0))</x:f>
      </x:c>
      <x:c r="M71" s="20" t="str">
        <x:f>IF(A71="","",IF(K71&lt;=0,0,IF(E71&gt;0,ROUNDUP(K71/E71,0),"")))</x:f>
      </x:c>
      <x:c r="N71" s="52" t="str">
        <x:f>IF(OR(A71="",D71="",K71&lt;=0),"",ROUNDUP(K71/MAX(1,(YEAR(D71)-YEAR('Painel'!$B$3))*12+MONTH(D71)-MONTH('Painel'!$B$3)),2))</x:f>
      </x:c>
      <x:c r="O71" s="20" t="str">
        <x:f>IF(A71="","",IF(K71&lt;=0,"Atingida",IF(D71="","Sem prazo",IF(E71&gt;=N71,"Viável","Pode não caber"))))</x:f>
      </x:c>
    </x:row>
    <x:row r="72">
      <x:c r="A72" s="20"/>
      <x:c r="B72" s="52"/>
      <x:c r="C72" s="52"/>
      <x:c r="D72" s="50"/>
      <x:c r="E72" s="52"/>
      <x:c r="F72" s="20"/>
      <x:c r="G72" s="20"/>
      <x:c r="H72" s="52" t="str">
        <x:f>IF(A72="","",ROUND(SUMIFS('Movimentações'!$E$2:$E$501,'Movimentações'!$B$2:$B$501,"Aporte objetivo",'Movimentações'!$G$2:$G$501,$A72),2))</x:f>
      </x:c>
      <x:c r="I72" s="52" t="str">
        <x:f>IF(A72="","",ROUND(SUMIFS('Movimentações'!$E$2:$E$501,'Movimentações'!$B$2:$B$501,"Retirada objetivo",'Movimentações'!$G$2:$G$501,$A72),2))</x:f>
      </x:c>
      <x:c r="J72" s="52" t="str">
        <x:f>IF(A72="","",ROUND(C72+H72-I72,2))</x:f>
      </x:c>
      <x:c r="K72" s="52" t="str">
        <x:f>IF(A72="","",MAX(0,ROUND(B72-J72,2)))</x:f>
      </x:c>
      <x:c r="L72" s="58" t="str">
        <x:f>IF(A72="","",IF(B72&gt;0,MIN(1,J72/B72),0))</x:f>
      </x:c>
      <x:c r="M72" s="20" t="str">
        <x:f>IF(A72="","",IF(K72&lt;=0,0,IF(E72&gt;0,ROUNDUP(K72/E72,0),"")))</x:f>
      </x:c>
      <x:c r="N72" s="52" t="str">
        <x:f>IF(OR(A72="",D72="",K72&lt;=0),"",ROUNDUP(K72/MAX(1,(YEAR(D72)-YEAR('Painel'!$B$3))*12+MONTH(D72)-MONTH('Painel'!$B$3)),2))</x:f>
      </x:c>
      <x:c r="O72" s="20" t="str">
        <x:f>IF(A72="","",IF(K72&lt;=0,"Atingida",IF(D72="","Sem prazo",IF(E72&gt;=N72,"Viável","Pode não caber"))))</x:f>
      </x:c>
    </x:row>
    <x:row r="73">
      <x:c r="A73" s="20"/>
      <x:c r="B73" s="52"/>
      <x:c r="C73" s="52"/>
      <x:c r="D73" s="50"/>
      <x:c r="E73" s="52"/>
      <x:c r="F73" s="20"/>
      <x:c r="G73" s="20"/>
      <x:c r="H73" s="52" t="str">
        <x:f>IF(A73="","",ROUND(SUMIFS('Movimentações'!$E$2:$E$501,'Movimentações'!$B$2:$B$501,"Aporte objetivo",'Movimentações'!$G$2:$G$501,$A73),2))</x:f>
      </x:c>
      <x:c r="I73" s="52" t="str">
        <x:f>IF(A73="","",ROUND(SUMIFS('Movimentações'!$E$2:$E$501,'Movimentações'!$B$2:$B$501,"Retirada objetivo",'Movimentações'!$G$2:$G$501,$A73),2))</x:f>
      </x:c>
      <x:c r="J73" s="52" t="str">
        <x:f>IF(A73="","",ROUND(C73+H73-I73,2))</x:f>
      </x:c>
      <x:c r="K73" s="52" t="str">
        <x:f>IF(A73="","",MAX(0,ROUND(B73-J73,2)))</x:f>
      </x:c>
      <x:c r="L73" s="58" t="str">
        <x:f>IF(A73="","",IF(B73&gt;0,MIN(1,J73/B73),0))</x:f>
      </x:c>
      <x:c r="M73" s="20" t="str">
        <x:f>IF(A73="","",IF(K73&lt;=0,0,IF(E73&gt;0,ROUNDUP(K73/E73,0),"")))</x:f>
      </x:c>
      <x:c r="N73" s="52" t="str">
        <x:f>IF(OR(A73="",D73="",K73&lt;=0),"",ROUNDUP(K73/MAX(1,(YEAR(D73)-YEAR('Painel'!$B$3))*12+MONTH(D73)-MONTH('Painel'!$B$3)),2))</x:f>
      </x:c>
      <x:c r="O73" s="20" t="str">
        <x:f>IF(A73="","",IF(K73&lt;=0,"Atingida",IF(D73="","Sem prazo",IF(E73&gt;=N73,"Viável","Pode não caber"))))</x:f>
      </x:c>
    </x:row>
    <x:row r="74">
      <x:c r="A74" s="20"/>
      <x:c r="B74" s="52"/>
      <x:c r="C74" s="52"/>
      <x:c r="D74" s="50"/>
      <x:c r="E74" s="52"/>
      <x:c r="F74" s="20"/>
      <x:c r="G74" s="20"/>
      <x:c r="H74" s="52" t="str">
        <x:f>IF(A74="","",ROUND(SUMIFS('Movimentações'!$E$2:$E$501,'Movimentações'!$B$2:$B$501,"Aporte objetivo",'Movimentações'!$G$2:$G$501,$A74),2))</x:f>
      </x:c>
      <x:c r="I74" s="52" t="str">
        <x:f>IF(A74="","",ROUND(SUMIFS('Movimentações'!$E$2:$E$501,'Movimentações'!$B$2:$B$501,"Retirada objetivo",'Movimentações'!$G$2:$G$501,$A74),2))</x:f>
      </x:c>
      <x:c r="J74" s="52" t="str">
        <x:f>IF(A74="","",ROUND(C74+H74-I74,2))</x:f>
      </x:c>
      <x:c r="K74" s="52" t="str">
        <x:f>IF(A74="","",MAX(0,ROUND(B74-J74,2)))</x:f>
      </x:c>
      <x:c r="L74" s="58" t="str">
        <x:f>IF(A74="","",IF(B74&gt;0,MIN(1,J74/B74),0))</x:f>
      </x:c>
      <x:c r="M74" s="20" t="str">
        <x:f>IF(A74="","",IF(K74&lt;=0,0,IF(E74&gt;0,ROUNDUP(K74/E74,0),"")))</x:f>
      </x:c>
      <x:c r="N74" s="52" t="str">
        <x:f>IF(OR(A74="",D74="",K74&lt;=0),"",ROUNDUP(K74/MAX(1,(YEAR(D74)-YEAR('Painel'!$B$3))*12+MONTH(D74)-MONTH('Painel'!$B$3)),2))</x:f>
      </x:c>
      <x:c r="O74" s="20" t="str">
        <x:f>IF(A74="","",IF(K74&lt;=0,"Atingida",IF(D74="","Sem prazo",IF(E74&gt;=N74,"Viável","Pode não caber"))))</x:f>
      </x:c>
    </x:row>
    <x:row r="75">
      <x:c r="A75" s="20"/>
      <x:c r="B75" s="52"/>
      <x:c r="C75" s="52"/>
      <x:c r="D75" s="50"/>
      <x:c r="E75" s="52"/>
      <x:c r="F75" s="20"/>
      <x:c r="G75" s="20"/>
      <x:c r="H75" s="52" t="str">
        <x:f>IF(A75="","",ROUND(SUMIFS('Movimentações'!$E$2:$E$501,'Movimentações'!$B$2:$B$501,"Aporte objetivo",'Movimentações'!$G$2:$G$501,$A75),2))</x:f>
      </x:c>
      <x:c r="I75" s="52" t="str">
        <x:f>IF(A75="","",ROUND(SUMIFS('Movimentações'!$E$2:$E$501,'Movimentações'!$B$2:$B$501,"Retirada objetivo",'Movimentações'!$G$2:$G$501,$A75),2))</x:f>
      </x:c>
      <x:c r="J75" s="52" t="str">
        <x:f>IF(A75="","",ROUND(C75+H75-I75,2))</x:f>
      </x:c>
      <x:c r="K75" s="52" t="str">
        <x:f>IF(A75="","",MAX(0,ROUND(B75-J75,2)))</x:f>
      </x:c>
      <x:c r="L75" s="58" t="str">
        <x:f>IF(A75="","",IF(B75&gt;0,MIN(1,J75/B75),0))</x:f>
      </x:c>
      <x:c r="M75" s="20" t="str">
        <x:f>IF(A75="","",IF(K75&lt;=0,0,IF(E75&gt;0,ROUNDUP(K75/E75,0),"")))</x:f>
      </x:c>
      <x:c r="N75" s="52" t="str">
        <x:f>IF(OR(A75="",D75="",K75&lt;=0),"",ROUNDUP(K75/MAX(1,(YEAR(D75)-YEAR('Painel'!$B$3))*12+MONTH(D75)-MONTH('Painel'!$B$3)),2))</x:f>
      </x:c>
      <x:c r="O75" s="20" t="str">
        <x:f>IF(A75="","",IF(K75&lt;=0,"Atingida",IF(D75="","Sem prazo",IF(E75&gt;=N75,"Viável","Pode não caber"))))</x:f>
      </x:c>
    </x:row>
    <x:row r="76">
      <x:c r="A76" s="20"/>
      <x:c r="B76" s="52"/>
      <x:c r="C76" s="52"/>
      <x:c r="D76" s="50"/>
      <x:c r="E76" s="52"/>
      <x:c r="F76" s="20"/>
      <x:c r="G76" s="20"/>
      <x:c r="H76" s="52" t="str">
        <x:f>IF(A76="","",ROUND(SUMIFS('Movimentações'!$E$2:$E$501,'Movimentações'!$B$2:$B$501,"Aporte objetivo",'Movimentações'!$G$2:$G$501,$A76),2))</x:f>
      </x:c>
      <x:c r="I76" s="52" t="str">
        <x:f>IF(A76="","",ROUND(SUMIFS('Movimentações'!$E$2:$E$501,'Movimentações'!$B$2:$B$501,"Retirada objetivo",'Movimentações'!$G$2:$G$501,$A76),2))</x:f>
      </x:c>
      <x:c r="J76" s="52" t="str">
        <x:f>IF(A76="","",ROUND(C76+H76-I76,2))</x:f>
      </x:c>
      <x:c r="K76" s="52" t="str">
        <x:f>IF(A76="","",MAX(0,ROUND(B76-J76,2)))</x:f>
      </x:c>
      <x:c r="L76" s="58" t="str">
        <x:f>IF(A76="","",IF(B76&gt;0,MIN(1,J76/B76),0))</x:f>
      </x:c>
      <x:c r="M76" s="20" t="str">
        <x:f>IF(A76="","",IF(K76&lt;=0,0,IF(E76&gt;0,ROUNDUP(K76/E76,0),"")))</x:f>
      </x:c>
      <x:c r="N76" s="52" t="str">
        <x:f>IF(OR(A76="",D76="",K76&lt;=0),"",ROUNDUP(K76/MAX(1,(YEAR(D76)-YEAR('Painel'!$B$3))*12+MONTH(D76)-MONTH('Painel'!$B$3)),2))</x:f>
      </x:c>
      <x:c r="O76" s="20" t="str">
        <x:f>IF(A76="","",IF(K76&lt;=0,"Atingida",IF(D76="","Sem prazo",IF(E76&gt;=N76,"Viável","Pode não caber"))))</x:f>
      </x:c>
    </x:row>
    <x:row r="77">
      <x:c r="A77" s="20"/>
      <x:c r="B77" s="52"/>
      <x:c r="C77" s="52"/>
      <x:c r="D77" s="50"/>
      <x:c r="E77" s="52"/>
      <x:c r="F77" s="20"/>
      <x:c r="G77" s="20"/>
      <x:c r="H77" s="52" t="str">
        <x:f>IF(A77="","",ROUND(SUMIFS('Movimentações'!$E$2:$E$501,'Movimentações'!$B$2:$B$501,"Aporte objetivo",'Movimentações'!$G$2:$G$501,$A77),2))</x:f>
      </x:c>
      <x:c r="I77" s="52" t="str">
        <x:f>IF(A77="","",ROUND(SUMIFS('Movimentações'!$E$2:$E$501,'Movimentações'!$B$2:$B$501,"Retirada objetivo",'Movimentações'!$G$2:$G$501,$A77),2))</x:f>
      </x:c>
      <x:c r="J77" s="52" t="str">
        <x:f>IF(A77="","",ROUND(C77+H77-I77,2))</x:f>
      </x:c>
      <x:c r="K77" s="52" t="str">
        <x:f>IF(A77="","",MAX(0,ROUND(B77-J77,2)))</x:f>
      </x:c>
      <x:c r="L77" s="58" t="str">
        <x:f>IF(A77="","",IF(B77&gt;0,MIN(1,J77/B77),0))</x:f>
      </x:c>
      <x:c r="M77" s="20" t="str">
        <x:f>IF(A77="","",IF(K77&lt;=0,0,IF(E77&gt;0,ROUNDUP(K77/E77,0),"")))</x:f>
      </x:c>
      <x:c r="N77" s="52" t="str">
        <x:f>IF(OR(A77="",D77="",K77&lt;=0),"",ROUNDUP(K77/MAX(1,(YEAR(D77)-YEAR('Painel'!$B$3))*12+MONTH(D77)-MONTH('Painel'!$B$3)),2))</x:f>
      </x:c>
      <x:c r="O77" s="20" t="str">
        <x:f>IF(A77="","",IF(K77&lt;=0,"Atingida",IF(D77="","Sem prazo",IF(E77&gt;=N77,"Viável","Pode não caber"))))</x:f>
      </x:c>
    </x:row>
    <x:row r="78">
      <x:c r="A78" s="20"/>
      <x:c r="B78" s="52"/>
      <x:c r="C78" s="52"/>
      <x:c r="D78" s="50"/>
      <x:c r="E78" s="52"/>
      <x:c r="F78" s="20"/>
      <x:c r="G78" s="20"/>
      <x:c r="H78" s="52" t="str">
        <x:f>IF(A78="","",ROUND(SUMIFS('Movimentações'!$E$2:$E$501,'Movimentações'!$B$2:$B$501,"Aporte objetivo",'Movimentações'!$G$2:$G$501,$A78),2))</x:f>
      </x:c>
      <x:c r="I78" s="52" t="str">
        <x:f>IF(A78="","",ROUND(SUMIFS('Movimentações'!$E$2:$E$501,'Movimentações'!$B$2:$B$501,"Retirada objetivo",'Movimentações'!$G$2:$G$501,$A78),2))</x:f>
      </x:c>
      <x:c r="J78" s="52" t="str">
        <x:f>IF(A78="","",ROUND(C78+H78-I78,2))</x:f>
      </x:c>
      <x:c r="K78" s="52" t="str">
        <x:f>IF(A78="","",MAX(0,ROUND(B78-J78,2)))</x:f>
      </x:c>
      <x:c r="L78" s="58" t="str">
        <x:f>IF(A78="","",IF(B78&gt;0,MIN(1,J78/B78),0))</x:f>
      </x:c>
      <x:c r="M78" s="20" t="str">
        <x:f>IF(A78="","",IF(K78&lt;=0,0,IF(E78&gt;0,ROUNDUP(K78/E78,0),"")))</x:f>
      </x:c>
      <x:c r="N78" s="52" t="str">
        <x:f>IF(OR(A78="",D78="",K78&lt;=0),"",ROUNDUP(K78/MAX(1,(YEAR(D78)-YEAR('Painel'!$B$3))*12+MONTH(D78)-MONTH('Painel'!$B$3)),2))</x:f>
      </x:c>
      <x:c r="O78" s="20" t="str">
        <x:f>IF(A78="","",IF(K78&lt;=0,"Atingida",IF(D78="","Sem prazo",IF(E78&gt;=N78,"Viável","Pode não caber"))))</x:f>
      </x:c>
    </x:row>
    <x:row r="79">
      <x:c r="A79" s="20"/>
      <x:c r="B79" s="52"/>
      <x:c r="C79" s="52"/>
      <x:c r="D79" s="50"/>
      <x:c r="E79" s="52"/>
      <x:c r="F79" s="20"/>
      <x:c r="G79" s="20"/>
      <x:c r="H79" s="52" t="str">
        <x:f>IF(A79="","",ROUND(SUMIFS('Movimentações'!$E$2:$E$501,'Movimentações'!$B$2:$B$501,"Aporte objetivo",'Movimentações'!$G$2:$G$501,$A79),2))</x:f>
      </x:c>
      <x:c r="I79" s="52" t="str">
        <x:f>IF(A79="","",ROUND(SUMIFS('Movimentações'!$E$2:$E$501,'Movimentações'!$B$2:$B$501,"Retirada objetivo",'Movimentações'!$G$2:$G$501,$A79),2))</x:f>
      </x:c>
      <x:c r="J79" s="52" t="str">
        <x:f>IF(A79="","",ROUND(C79+H79-I79,2))</x:f>
      </x:c>
      <x:c r="K79" s="52" t="str">
        <x:f>IF(A79="","",MAX(0,ROUND(B79-J79,2)))</x:f>
      </x:c>
      <x:c r="L79" s="58" t="str">
        <x:f>IF(A79="","",IF(B79&gt;0,MIN(1,J79/B79),0))</x:f>
      </x:c>
      <x:c r="M79" s="20" t="str">
        <x:f>IF(A79="","",IF(K79&lt;=0,0,IF(E79&gt;0,ROUNDUP(K79/E79,0),"")))</x:f>
      </x:c>
      <x:c r="N79" s="52" t="str">
        <x:f>IF(OR(A79="",D79="",K79&lt;=0),"",ROUNDUP(K79/MAX(1,(YEAR(D79)-YEAR('Painel'!$B$3))*12+MONTH(D79)-MONTH('Painel'!$B$3)),2))</x:f>
      </x:c>
      <x:c r="O79" s="20" t="str">
        <x:f>IF(A79="","",IF(K79&lt;=0,"Atingida",IF(D79="","Sem prazo",IF(E79&gt;=N79,"Viável","Pode não caber"))))</x:f>
      </x:c>
    </x:row>
    <x:row r="80">
      <x:c r="A80" s="20"/>
      <x:c r="B80" s="52"/>
      <x:c r="C80" s="52"/>
      <x:c r="D80" s="50"/>
      <x:c r="E80" s="52"/>
      <x:c r="F80" s="20"/>
      <x:c r="G80" s="20"/>
      <x:c r="H80" s="52" t="str">
        <x:f>IF(A80="","",ROUND(SUMIFS('Movimentações'!$E$2:$E$501,'Movimentações'!$B$2:$B$501,"Aporte objetivo",'Movimentações'!$G$2:$G$501,$A80),2))</x:f>
      </x:c>
      <x:c r="I80" s="52" t="str">
        <x:f>IF(A80="","",ROUND(SUMIFS('Movimentações'!$E$2:$E$501,'Movimentações'!$B$2:$B$501,"Retirada objetivo",'Movimentações'!$G$2:$G$501,$A80),2))</x:f>
      </x:c>
      <x:c r="J80" s="52" t="str">
        <x:f>IF(A80="","",ROUND(C80+H80-I80,2))</x:f>
      </x:c>
      <x:c r="K80" s="52" t="str">
        <x:f>IF(A80="","",MAX(0,ROUND(B80-J80,2)))</x:f>
      </x:c>
      <x:c r="L80" s="58" t="str">
        <x:f>IF(A80="","",IF(B80&gt;0,MIN(1,J80/B80),0))</x:f>
      </x:c>
      <x:c r="M80" s="20" t="str">
        <x:f>IF(A80="","",IF(K80&lt;=0,0,IF(E80&gt;0,ROUNDUP(K80/E80,0),"")))</x:f>
      </x:c>
      <x:c r="N80" s="52" t="str">
        <x:f>IF(OR(A80="",D80="",K80&lt;=0),"",ROUNDUP(K80/MAX(1,(YEAR(D80)-YEAR('Painel'!$B$3))*12+MONTH(D80)-MONTH('Painel'!$B$3)),2))</x:f>
      </x:c>
      <x:c r="O80" s="20" t="str">
        <x:f>IF(A80="","",IF(K80&lt;=0,"Atingida",IF(D80="","Sem prazo",IF(E80&gt;=N80,"Viável","Pode não caber"))))</x:f>
      </x:c>
    </x:row>
    <x:row r="81">
      <x:c r="A81" s="20"/>
      <x:c r="B81" s="52"/>
      <x:c r="C81" s="52"/>
      <x:c r="D81" s="50"/>
      <x:c r="E81" s="52"/>
      <x:c r="F81" s="20"/>
      <x:c r="G81" s="20"/>
      <x:c r="H81" s="52" t="str">
        <x:f>IF(A81="","",ROUND(SUMIFS('Movimentações'!$E$2:$E$501,'Movimentações'!$B$2:$B$501,"Aporte objetivo",'Movimentações'!$G$2:$G$501,$A81),2))</x:f>
      </x:c>
      <x:c r="I81" s="52" t="str">
        <x:f>IF(A81="","",ROUND(SUMIFS('Movimentações'!$E$2:$E$501,'Movimentações'!$B$2:$B$501,"Retirada objetivo",'Movimentações'!$G$2:$G$501,$A81),2))</x:f>
      </x:c>
      <x:c r="J81" s="52" t="str">
        <x:f>IF(A81="","",ROUND(C81+H81-I81,2))</x:f>
      </x:c>
      <x:c r="K81" s="52" t="str">
        <x:f>IF(A81="","",MAX(0,ROUND(B81-J81,2)))</x:f>
      </x:c>
      <x:c r="L81" s="58" t="str">
        <x:f>IF(A81="","",IF(B81&gt;0,MIN(1,J81/B81),0))</x:f>
      </x:c>
      <x:c r="M81" s="20" t="str">
        <x:f>IF(A81="","",IF(K81&lt;=0,0,IF(E81&gt;0,ROUNDUP(K81/E81,0),"")))</x:f>
      </x:c>
      <x:c r="N81" s="52" t="str">
        <x:f>IF(OR(A81="",D81="",K81&lt;=0),"",ROUNDUP(K81/MAX(1,(YEAR(D81)-YEAR('Painel'!$B$3))*12+MONTH(D81)-MONTH('Painel'!$B$3)),2))</x:f>
      </x:c>
      <x:c r="O81" s="20" t="str">
        <x:f>IF(A81="","",IF(K81&lt;=0,"Atingida",IF(D81="","Sem prazo",IF(E81&gt;=N81,"Viável","Pode não caber"))))</x:f>
      </x:c>
    </x:row>
    <x:row r="82">
      <x:c r="A82" s="20"/>
      <x:c r="B82" s="52"/>
      <x:c r="C82" s="52"/>
      <x:c r="D82" s="50"/>
      <x:c r="E82" s="52"/>
      <x:c r="F82" s="20"/>
      <x:c r="G82" s="20"/>
      <x:c r="H82" s="52" t="str">
        <x:f>IF(A82="","",ROUND(SUMIFS('Movimentações'!$E$2:$E$501,'Movimentações'!$B$2:$B$501,"Aporte objetivo",'Movimentações'!$G$2:$G$501,$A82),2))</x:f>
      </x:c>
      <x:c r="I82" s="52" t="str">
        <x:f>IF(A82="","",ROUND(SUMIFS('Movimentações'!$E$2:$E$501,'Movimentações'!$B$2:$B$501,"Retirada objetivo",'Movimentações'!$G$2:$G$501,$A82),2))</x:f>
      </x:c>
      <x:c r="J82" s="52" t="str">
        <x:f>IF(A82="","",ROUND(C82+H82-I82,2))</x:f>
      </x:c>
      <x:c r="K82" s="52" t="str">
        <x:f>IF(A82="","",MAX(0,ROUND(B82-J82,2)))</x:f>
      </x:c>
      <x:c r="L82" s="58" t="str">
        <x:f>IF(A82="","",IF(B82&gt;0,MIN(1,J82/B82),0))</x:f>
      </x:c>
      <x:c r="M82" s="20" t="str">
        <x:f>IF(A82="","",IF(K82&lt;=0,0,IF(E82&gt;0,ROUNDUP(K82/E82,0),"")))</x:f>
      </x:c>
      <x:c r="N82" s="52" t="str">
        <x:f>IF(OR(A82="",D82="",K82&lt;=0),"",ROUNDUP(K82/MAX(1,(YEAR(D82)-YEAR('Painel'!$B$3))*12+MONTH(D82)-MONTH('Painel'!$B$3)),2))</x:f>
      </x:c>
      <x:c r="O82" s="20" t="str">
        <x:f>IF(A82="","",IF(K82&lt;=0,"Atingida",IF(D82="","Sem prazo",IF(E82&gt;=N82,"Viável","Pode não caber"))))</x:f>
      </x:c>
    </x:row>
    <x:row r="83">
      <x:c r="A83" s="20"/>
      <x:c r="B83" s="52"/>
      <x:c r="C83" s="52"/>
      <x:c r="D83" s="50"/>
      <x:c r="E83" s="52"/>
      <x:c r="F83" s="20"/>
      <x:c r="G83" s="20"/>
      <x:c r="H83" s="52" t="str">
        <x:f>IF(A83="","",ROUND(SUMIFS('Movimentações'!$E$2:$E$501,'Movimentações'!$B$2:$B$501,"Aporte objetivo",'Movimentações'!$G$2:$G$501,$A83),2))</x:f>
      </x:c>
      <x:c r="I83" s="52" t="str">
        <x:f>IF(A83="","",ROUND(SUMIFS('Movimentações'!$E$2:$E$501,'Movimentações'!$B$2:$B$501,"Retirada objetivo",'Movimentações'!$G$2:$G$501,$A83),2))</x:f>
      </x:c>
      <x:c r="J83" s="52" t="str">
        <x:f>IF(A83="","",ROUND(C83+H83-I83,2))</x:f>
      </x:c>
      <x:c r="K83" s="52" t="str">
        <x:f>IF(A83="","",MAX(0,ROUND(B83-J83,2)))</x:f>
      </x:c>
      <x:c r="L83" s="58" t="str">
        <x:f>IF(A83="","",IF(B83&gt;0,MIN(1,J83/B83),0))</x:f>
      </x:c>
      <x:c r="M83" s="20" t="str">
        <x:f>IF(A83="","",IF(K83&lt;=0,0,IF(E83&gt;0,ROUNDUP(K83/E83,0),"")))</x:f>
      </x:c>
      <x:c r="N83" s="52" t="str">
        <x:f>IF(OR(A83="",D83="",K83&lt;=0),"",ROUNDUP(K83/MAX(1,(YEAR(D83)-YEAR('Painel'!$B$3))*12+MONTH(D83)-MONTH('Painel'!$B$3)),2))</x:f>
      </x:c>
      <x:c r="O83" s="20" t="str">
        <x:f>IF(A83="","",IF(K83&lt;=0,"Atingida",IF(D83="","Sem prazo",IF(E83&gt;=N83,"Viável","Pode não caber"))))</x:f>
      </x:c>
    </x:row>
    <x:row r="84">
      <x:c r="A84" s="20"/>
      <x:c r="B84" s="52"/>
      <x:c r="C84" s="52"/>
      <x:c r="D84" s="50"/>
      <x:c r="E84" s="52"/>
      <x:c r="F84" s="20"/>
      <x:c r="G84" s="20"/>
      <x:c r="H84" s="52" t="str">
        <x:f>IF(A84="","",ROUND(SUMIFS('Movimentações'!$E$2:$E$501,'Movimentações'!$B$2:$B$501,"Aporte objetivo",'Movimentações'!$G$2:$G$501,$A84),2))</x:f>
      </x:c>
      <x:c r="I84" s="52" t="str">
        <x:f>IF(A84="","",ROUND(SUMIFS('Movimentações'!$E$2:$E$501,'Movimentações'!$B$2:$B$501,"Retirada objetivo",'Movimentações'!$G$2:$G$501,$A84),2))</x:f>
      </x:c>
      <x:c r="J84" s="52" t="str">
        <x:f>IF(A84="","",ROUND(C84+H84-I84,2))</x:f>
      </x:c>
      <x:c r="K84" s="52" t="str">
        <x:f>IF(A84="","",MAX(0,ROUND(B84-J84,2)))</x:f>
      </x:c>
      <x:c r="L84" s="58" t="str">
        <x:f>IF(A84="","",IF(B84&gt;0,MIN(1,J84/B84),0))</x:f>
      </x:c>
      <x:c r="M84" s="20" t="str">
        <x:f>IF(A84="","",IF(K84&lt;=0,0,IF(E84&gt;0,ROUNDUP(K84/E84,0),"")))</x:f>
      </x:c>
      <x:c r="N84" s="52" t="str">
        <x:f>IF(OR(A84="",D84="",K84&lt;=0),"",ROUNDUP(K84/MAX(1,(YEAR(D84)-YEAR('Painel'!$B$3))*12+MONTH(D84)-MONTH('Painel'!$B$3)),2))</x:f>
      </x:c>
      <x:c r="O84" s="20" t="str">
        <x:f>IF(A84="","",IF(K84&lt;=0,"Atingida",IF(D84="","Sem prazo",IF(E84&gt;=N84,"Viável","Pode não caber"))))</x:f>
      </x:c>
    </x:row>
    <x:row r="85">
      <x:c r="A85" s="20"/>
      <x:c r="B85" s="52"/>
      <x:c r="C85" s="52"/>
      <x:c r="D85" s="50"/>
      <x:c r="E85" s="52"/>
      <x:c r="F85" s="20"/>
      <x:c r="G85" s="20"/>
      <x:c r="H85" s="52" t="str">
        <x:f>IF(A85="","",ROUND(SUMIFS('Movimentações'!$E$2:$E$501,'Movimentações'!$B$2:$B$501,"Aporte objetivo",'Movimentações'!$G$2:$G$501,$A85),2))</x:f>
      </x:c>
      <x:c r="I85" s="52" t="str">
        <x:f>IF(A85="","",ROUND(SUMIFS('Movimentações'!$E$2:$E$501,'Movimentações'!$B$2:$B$501,"Retirada objetivo",'Movimentações'!$G$2:$G$501,$A85),2))</x:f>
      </x:c>
      <x:c r="J85" s="52" t="str">
        <x:f>IF(A85="","",ROUND(C85+H85-I85,2))</x:f>
      </x:c>
      <x:c r="K85" s="52" t="str">
        <x:f>IF(A85="","",MAX(0,ROUND(B85-J85,2)))</x:f>
      </x:c>
      <x:c r="L85" s="58" t="str">
        <x:f>IF(A85="","",IF(B85&gt;0,MIN(1,J85/B85),0))</x:f>
      </x:c>
      <x:c r="M85" s="20" t="str">
        <x:f>IF(A85="","",IF(K85&lt;=0,0,IF(E85&gt;0,ROUNDUP(K85/E85,0),"")))</x:f>
      </x:c>
      <x:c r="N85" s="52" t="str">
        <x:f>IF(OR(A85="",D85="",K85&lt;=0),"",ROUNDUP(K85/MAX(1,(YEAR(D85)-YEAR('Painel'!$B$3))*12+MONTH(D85)-MONTH('Painel'!$B$3)),2))</x:f>
      </x:c>
      <x:c r="O85" s="20" t="str">
        <x:f>IF(A85="","",IF(K85&lt;=0,"Atingida",IF(D85="","Sem prazo",IF(E85&gt;=N85,"Viável","Pode não caber"))))</x:f>
      </x:c>
    </x:row>
    <x:row r="86">
      <x:c r="A86" s="20"/>
      <x:c r="B86" s="52"/>
      <x:c r="C86" s="52"/>
      <x:c r="D86" s="50"/>
      <x:c r="E86" s="52"/>
      <x:c r="F86" s="20"/>
      <x:c r="G86" s="20"/>
      <x:c r="H86" s="52" t="str">
        <x:f>IF(A86="","",ROUND(SUMIFS('Movimentações'!$E$2:$E$501,'Movimentações'!$B$2:$B$501,"Aporte objetivo",'Movimentações'!$G$2:$G$501,$A86),2))</x:f>
      </x:c>
      <x:c r="I86" s="52" t="str">
        <x:f>IF(A86="","",ROUND(SUMIFS('Movimentações'!$E$2:$E$501,'Movimentações'!$B$2:$B$501,"Retirada objetivo",'Movimentações'!$G$2:$G$501,$A86),2))</x:f>
      </x:c>
      <x:c r="J86" s="52" t="str">
        <x:f>IF(A86="","",ROUND(C86+H86-I86,2))</x:f>
      </x:c>
      <x:c r="K86" s="52" t="str">
        <x:f>IF(A86="","",MAX(0,ROUND(B86-J86,2)))</x:f>
      </x:c>
      <x:c r="L86" s="58" t="str">
        <x:f>IF(A86="","",IF(B86&gt;0,MIN(1,J86/B86),0))</x:f>
      </x:c>
      <x:c r="M86" s="20" t="str">
        <x:f>IF(A86="","",IF(K86&lt;=0,0,IF(E86&gt;0,ROUNDUP(K86/E86,0),"")))</x:f>
      </x:c>
      <x:c r="N86" s="52" t="str">
        <x:f>IF(OR(A86="",D86="",K86&lt;=0),"",ROUNDUP(K86/MAX(1,(YEAR(D86)-YEAR('Painel'!$B$3))*12+MONTH(D86)-MONTH('Painel'!$B$3)),2))</x:f>
      </x:c>
      <x:c r="O86" s="20" t="str">
        <x:f>IF(A86="","",IF(K86&lt;=0,"Atingida",IF(D86="","Sem prazo",IF(E86&gt;=N86,"Viável","Pode não caber"))))</x:f>
      </x:c>
    </x:row>
    <x:row r="87">
      <x:c r="A87" s="20"/>
      <x:c r="B87" s="52"/>
      <x:c r="C87" s="52"/>
      <x:c r="D87" s="50"/>
      <x:c r="E87" s="52"/>
      <x:c r="F87" s="20"/>
      <x:c r="G87" s="20"/>
      <x:c r="H87" s="52" t="str">
        <x:f>IF(A87="","",ROUND(SUMIFS('Movimentações'!$E$2:$E$501,'Movimentações'!$B$2:$B$501,"Aporte objetivo",'Movimentações'!$G$2:$G$501,$A87),2))</x:f>
      </x:c>
      <x:c r="I87" s="52" t="str">
        <x:f>IF(A87="","",ROUND(SUMIFS('Movimentações'!$E$2:$E$501,'Movimentações'!$B$2:$B$501,"Retirada objetivo",'Movimentações'!$G$2:$G$501,$A87),2))</x:f>
      </x:c>
      <x:c r="J87" s="52" t="str">
        <x:f>IF(A87="","",ROUND(C87+H87-I87,2))</x:f>
      </x:c>
      <x:c r="K87" s="52" t="str">
        <x:f>IF(A87="","",MAX(0,ROUND(B87-J87,2)))</x:f>
      </x:c>
      <x:c r="L87" s="58" t="str">
        <x:f>IF(A87="","",IF(B87&gt;0,MIN(1,J87/B87),0))</x:f>
      </x:c>
      <x:c r="M87" s="20" t="str">
        <x:f>IF(A87="","",IF(K87&lt;=0,0,IF(E87&gt;0,ROUNDUP(K87/E87,0),"")))</x:f>
      </x:c>
      <x:c r="N87" s="52" t="str">
        <x:f>IF(OR(A87="",D87="",K87&lt;=0),"",ROUNDUP(K87/MAX(1,(YEAR(D87)-YEAR('Painel'!$B$3))*12+MONTH(D87)-MONTH('Painel'!$B$3)),2))</x:f>
      </x:c>
      <x:c r="O87" s="20" t="str">
        <x:f>IF(A87="","",IF(K87&lt;=0,"Atingida",IF(D87="","Sem prazo",IF(E87&gt;=N87,"Viável","Pode não caber"))))</x:f>
      </x:c>
    </x:row>
    <x:row r="88">
      <x:c r="A88" s="20"/>
      <x:c r="B88" s="52"/>
      <x:c r="C88" s="52"/>
      <x:c r="D88" s="50"/>
      <x:c r="E88" s="52"/>
      <x:c r="F88" s="20"/>
      <x:c r="G88" s="20"/>
      <x:c r="H88" s="52" t="str">
        <x:f>IF(A88="","",ROUND(SUMIFS('Movimentações'!$E$2:$E$501,'Movimentações'!$B$2:$B$501,"Aporte objetivo",'Movimentações'!$G$2:$G$501,$A88),2))</x:f>
      </x:c>
      <x:c r="I88" s="52" t="str">
        <x:f>IF(A88="","",ROUND(SUMIFS('Movimentações'!$E$2:$E$501,'Movimentações'!$B$2:$B$501,"Retirada objetivo",'Movimentações'!$G$2:$G$501,$A88),2))</x:f>
      </x:c>
      <x:c r="J88" s="52" t="str">
        <x:f>IF(A88="","",ROUND(C88+H88-I88,2))</x:f>
      </x:c>
      <x:c r="K88" s="52" t="str">
        <x:f>IF(A88="","",MAX(0,ROUND(B88-J88,2)))</x:f>
      </x:c>
      <x:c r="L88" s="58" t="str">
        <x:f>IF(A88="","",IF(B88&gt;0,MIN(1,J88/B88),0))</x:f>
      </x:c>
      <x:c r="M88" s="20" t="str">
        <x:f>IF(A88="","",IF(K88&lt;=0,0,IF(E88&gt;0,ROUNDUP(K88/E88,0),"")))</x:f>
      </x:c>
      <x:c r="N88" s="52" t="str">
        <x:f>IF(OR(A88="",D88="",K88&lt;=0),"",ROUNDUP(K88/MAX(1,(YEAR(D88)-YEAR('Painel'!$B$3))*12+MONTH(D88)-MONTH('Painel'!$B$3)),2))</x:f>
      </x:c>
      <x:c r="O88" s="20" t="str">
        <x:f>IF(A88="","",IF(K88&lt;=0,"Atingida",IF(D88="","Sem prazo",IF(E88&gt;=N88,"Viável","Pode não caber"))))</x:f>
      </x:c>
    </x:row>
    <x:row r="89">
      <x:c r="A89" s="20"/>
      <x:c r="B89" s="52"/>
      <x:c r="C89" s="52"/>
      <x:c r="D89" s="50"/>
      <x:c r="E89" s="52"/>
      <x:c r="F89" s="20"/>
      <x:c r="G89" s="20"/>
      <x:c r="H89" s="52" t="str">
        <x:f>IF(A89="","",ROUND(SUMIFS('Movimentações'!$E$2:$E$501,'Movimentações'!$B$2:$B$501,"Aporte objetivo",'Movimentações'!$G$2:$G$501,$A89),2))</x:f>
      </x:c>
      <x:c r="I89" s="52" t="str">
        <x:f>IF(A89="","",ROUND(SUMIFS('Movimentações'!$E$2:$E$501,'Movimentações'!$B$2:$B$501,"Retirada objetivo",'Movimentações'!$G$2:$G$501,$A89),2))</x:f>
      </x:c>
      <x:c r="J89" s="52" t="str">
        <x:f>IF(A89="","",ROUND(C89+H89-I89,2))</x:f>
      </x:c>
      <x:c r="K89" s="52" t="str">
        <x:f>IF(A89="","",MAX(0,ROUND(B89-J89,2)))</x:f>
      </x:c>
      <x:c r="L89" s="58" t="str">
        <x:f>IF(A89="","",IF(B89&gt;0,MIN(1,J89/B89),0))</x:f>
      </x:c>
      <x:c r="M89" s="20" t="str">
        <x:f>IF(A89="","",IF(K89&lt;=0,0,IF(E89&gt;0,ROUNDUP(K89/E89,0),"")))</x:f>
      </x:c>
      <x:c r="N89" s="52" t="str">
        <x:f>IF(OR(A89="",D89="",K89&lt;=0),"",ROUNDUP(K89/MAX(1,(YEAR(D89)-YEAR('Painel'!$B$3))*12+MONTH(D89)-MONTH('Painel'!$B$3)),2))</x:f>
      </x:c>
      <x:c r="O89" s="20" t="str">
        <x:f>IF(A89="","",IF(K89&lt;=0,"Atingida",IF(D89="","Sem prazo",IF(E89&gt;=N89,"Viável","Pode não caber"))))</x:f>
      </x:c>
    </x:row>
    <x:row r="90">
      <x:c r="A90" s="20"/>
      <x:c r="B90" s="52"/>
      <x:c r="C90" s="52"/>
      <x:c r="D90" s="50"/>
      <x:c r="E90" s="52"/>
      <x:c r="F90" s="20"/>
      <x:c r="G90" s="20"/>
      <x:c r="H90" s="52" t="str">
        <x:f>IF(A90="","",ROUND(SUMIFS('Movimentações'!$E$2:$E$501,'Movimentações'!$B$2:$B$501,"Aporte objetivo",'Movimentações'!$G$2:$G$501,$A90),2))</x:f>
      </x:c>
      <x:c r="I90" s="52" t="str">
        <x:f>IF(A90="","",ROUND(SUMIFS('Movimentações'!$E$2:$E$501,'Movimentações'!$B$2:$B$501,"Retirada objetivo",'Movimentações'!$G$2:$G$501,$A90),2))</x:f>
      </x:c>
      <x:c r="J90" s="52" t="str">
        <x:f>IF(A90="","",ROUND(C90+H90-I90,2))</x:f>
      </x:c>
      <x:c r="K90" s="52" t="str">
        <x:f>IF(A90="","",MAX(0,ROUND(B90-J90,2)))</x:f>
      </x:c>
      <x:c r="L90" s="58" t="str">
        <x:f>IF(A90="","",IF(B90&gt;0,MIN(1,J90/B90),0))</x:f>
      </x:c>
      <x:c r="M90" s="20" t="str">
        <x:f>IF(A90="","",IF(K90&lt;=0,0,IF(E90&gt;0,ROUNDUP(K90/E90,0),"")))</x:f>
      </x:c>
      <x:c r="N90" s="52" t="str">
        <x:f>IF(OR(A90="",D90="",K90&lt;=0),"",ROUNDUP(K90/MAX(1,(YEAR(D90)-YEAR('Painel'!$B$3))*12+MONTH(D90)-MONTH('Painel'!$B$3)),2))</x:f>
      </x:c>
      <x:c r="O90" s="20" t="str">
        <x:f>IF(A90="","",IF(K90&lt;=0,"Atingida",IF(D90="","Sem prazo",IF(E90&gt;=N90,"Viável","Pode não caber"))))</x:f>
      </x:c>
    </x:row>
    <x:row r="91">
      <x:c r="A91" s="20"/>
      <x:c r="B91" s="52"/>
      <x:c r="C91" s="52"/>
      <x:c r="D91" s="50"/>
      <x:c r="E91" s="52"/>
      <x:c r="F91" s="20"/>
      <x:c r="G91" s="20"/>
      <x:c r="H91" s="52" t="str">
        <x:f>IF(A91="","",ROUND(SUMIFS('Movimentações'!$E$2:$E$501,'Movimentações'!$B$2:$B$501,"Aporte objetivo",'Movimentações'!$G$2:$G$501,$A91),2))</x:f>
      </x:c>
      <x:c r="I91" s="52" t="str">
        <x:f>IF(A91="","",ROUND(SUMIFS('Movimentações'!$E$2:$E$501,'Movimentações'!$B$2:$B$501,"Retirada objetivo",'Movimentações'!$G$2:$G$501,$A91),2))</x:f>
      </x:c>
      <x:c r="J91" s="52" t="str">
        <x:f>IF(A91="","",ROUND(C91+H91-I91,2))</x:f>
      </x:c>
      <x:c r="K91" s="52" t="str">
        <x:f>IF(A91="","",MAX(0,ROUND(B91-J91,2)))</x:f>
      </x:c>
      <x:c r="L91" s="58" t="str">
        <x:f>IF(A91="","",IF(B91&gt;0,MIN(1,J91/B91),0))</x:f>
      </x:c>
      <x:c r="M91" s="20" t="str">
        <x:f>IF(A91="","",IF(K91&lt;=0,0,IF(E91&gt;0,ROUNDUP(K91/E91,0),"")))</x:f>
      </x:c>
      <x:c r="N91" s="52" t="str">
        <x:f>IF(OR(A91="",D91="",K91&lt;=0),"",ROUNDUP(K91/MAX(1,(YEAR(D91)-YEAR('Painel'!$B$3))*12+MONTH(D91)-MONTH('Painel'!$B$3)),2))</x:f>
      </x:c>
      <x:c r="O91" s="20" t="str">
        <x:f>IF(A91="","",IF(K91&lt;=0,"Atingida",IF(D91="","Sem prazo",IF(E91&gt;=N91,"Viável","Pode não caber"))))</x:f>
      </x:c>
    </x:row>
    <x:row r="92">
      <x:c r="A92" s="20"/>
      <x:c r="B92" s="52"/>
      <x:c r="C92" s="52"/>
      <x:c r="D92" s="50"/>
      <x:c r="E92" s="52"/>
      <x:c r="F92" s="20"/>
      <x:c r="G92" s="20"/>
      <x:c r="H92" s="52" t="str">
        <x:f>IF(A92="","",ROUND(SUMIFS('Movimentações'!$E$2:$E$501,'Movimentações'!$B$2:$B$501,"Aporte objetivo",'Movimentações'!$G$2:$G$501,$A92),2))</x:f>
      </x:c>
      <x:c r="I92" s="52" t="str">
        <x:f>IF(A92="","",ROUND(SUMIFS('Movimentações'!$E$2:$E$501,'Movimentações'!$B$2:$B$501,"Retirada objetivo",'Movimentações'!$G$2:$G$501,$A92),2))</x:f>
      </x:c>
      <x:c r="J92" s="52" t="str">
        <x:f>IF(A92="","",ROUND(C92+H92-I92,2))</x:f>
      </x:c>
      <x:c r="K92" s="52" t="str">
        <x:f>IF(A92="","",MAX(0,ROUND(B92-J92,2)))</x:f>
      </x:c>
      <x:c r="L92" s="58" t="str">
        <x:f>IF(A92="","",IF(B92&gt;0,MIN(1,J92/B92),0))</x:f>
      </x:c>
      <x:c r="M92" s="20" t="str">
        <x:f>IF(A92="","",IF(K92&lt;=0,0,IF(E92&gt;0,ROUNDUP(K92/E92,0),"")))</x:f>
      </x:c>
      <x:c r="N92" s="52" t="str">
        <x:f>IF(OR(A92="",D92="",K92&lt;=0),"",ROUNDUP(K92/MAX(1,(YEAR(D92)-YEAR('Painel'!$B$3))*12+MONTH(D92)-MONTH('Painel'!$B$3)),2))</x:f>
      </x:c>
      <x:c r="O92" s="20" t="str">
        <x:f>IF(A92="","",IF(K92&lt;=0,"Atingida",IF(D92="","Sem prazo",IF(E92&gt;=N92,"Viável","Pode não caber"))))</x:f>
      </x:c>
    </x:row>
    <x:row r="93">
      <x:c r="A93" s="20"/>
      <x:c r="B93" s="52"/>
      <x:c r="C93" s="52"/>
      <x:c r="D93" s="50"/>
      <x:c r="E93" s="52"/>
      <x:c r="F93" s="20"/>
      <x:c r="G93" s="20"/>
      <x:c r="H93" s="52" t="str">
        <x:f>IF(A93="","",ROUND(SUMIFS('Movimentações'!$E$2:$E$501,'Movimentações'!$B$2:$B$501,"Aporte objetivo",'Movimentações'!$G$2:$G$501,$A93),2))</x:f>
      </x:c>
      <x:c r="I93" s="52" t="str">
        <x:f>IF(A93="","",ROUND(SUMIFS('Movimentações'!$E$2:$E$501,'Movimentações'!$B$2:$B$501,"Retirada objetivo",'Movimentações'!$G$2:$G$501,$A93),2))</x:f>
      </x:c>
      <x:c r="J93" s="52" t="str">
        <x:f>IF(A93="","",ROUND(C93+H93-I93,2))</x:f>
      </x:c>
      <x:c r="K93" s="52" t="str">
        <x:f>IF(A93="","",MAX(0,ROUND(B93-J93,2)))</x:f>
      </x:c>
      <x:c r="L93" s="58" t="str">
        <x:f>IF(A93="","",IF(B93&gt;0,MIN(1,J93/B93),0))</x:f>
      </x:c>
      <x:c r="M93" s="20" t="str">
        <x:f>IF(A93="","",IF(K93&lt;=0,0,IF(E93&gt;0,ROUNDUP(K93/E93,0),"")))</x:f>
      </x:c>
      <x:c r="N93" s="52" t="str">
        <x:f>IF(OR(A93="",D93="",K93&lt;=0),"",ROUNDUP(K93/MAX(1,(YEAR(D93)-YEAR('Painel'!$B$3))*12+MONTH(D93)-MONTH('Painel'!$B$3)),2))</x:f>
      </x:c>
      <x:c r="O93" s="20" t="str">
        <x:f>IF(A93="","",IF(K93&lt;=0,"Atingida",IF(D93="","Sem prazo",IF(E93&gt;=N93,"Viável","Pode não caber"))))</x:f>
      </x:c>
    </x:row>
    <x:row r="94">
      <x:c r="A94" s="20"/>
      <x:c r="B94" s="52"/>
      <x:c r="C94" s="52"/>
      <x:c r="D94" s="50"/>
      <x:c r="E94" s="52"/>
      <x:c r="F94" s="20"/>
      <x:c r="G94" s="20"/>
      <x:c r="H94" s="52" t="str">
        <x:f>IF(A94="","",ROUND(SUMIFS('Movimentações'!$E$2:$E$501,'Movimentações'!$B$2:$B$501,"Aporte objetivo",'Movimentações'!$G$2:$G$501,$A94),2))</x:f>
      </x:c>
      <x:c r="I94" s="52" t="str">
        <x:f>IF(A94="","",ROUND(SUMIFS('Movimentações'!$E$2:$E$501,'Movimentações'!$B$2:$B$501,"Retirada objetivo",'Movimentações'!$G$2:$G$501,$A94),2))</x:f>
      </x:c>
      <x:c r="J94" s="52" t="str">
        <x:f>IF(A94="","",ROUND(C94+H94-I94,2))</x:f>
      </x:c>
      <x:c r="K94" s="52" t="str">
        <x:f>IF(A94="","",MAX(0,ROUND(B94-J94,2)))</x:f>
      </x:c>
      <x:c r="L94" s="58" t="str">
        <x:f>IF(A94="","",IF(B94&gt;0,MIN(1,J94/B94),0))</x:f>
      </x:c>
      <x:c r="M94" s="20" t="str">
        <x:f>IF(A94="","",IF(K94&lt;=0,0,IF(E94&gt;0,ROUNDUP(K94/E94,0),"")))</x:f>
      </x:c>
      <x:c r="N94" s="52" t="str">
        <x:f>IF(OR(A94="",D94="",K94&lt;=0),"",ROUNDUP(K94/MAX(1,(YEAR(D94)-YEAR('Painel'!$B$3))*12+MONTH(D94)-MONTH('Painel'!$B$3)),2))</x:f>
      </x:c>
      <x:c r="O94" s="20" t="str">
        <x:f>IF(A94="","",IF(K94&lt;=0,"Atingida",IF(D94="","Sem prazo",IF(E94&gt;=N94,"Viável","Pode não caber"))))</x:f>
      </x:c>
    </x:row>
    <x:row r="95">
      <x:c r="A95" s="20"/>
      <x:c r="B95" s="52"/>
      <x:c r="C95" s="52"/>
      <x:c r="D95" s="50"/>
      <x:c r="E95" s="52"/>
      <x:c r="F95" s="20"/>
      <x:c r="G95" s="20"/>
      <x:c r="H95" s="52" t="str">
        <x:f>IF(A95="","",ROUND(SUMIFS('Movimentações'!$E$2:$E$501,'Movimentações'!$B$2:$B$501,"Aporte objetivo",'Movimentações'!$G$2:$G$501,$A95),2))</x:f>
      </x:c>
      <x:c r="I95" s="52" t="str">
        <x:f>IF(A95="","",ROUND(SUMIFS('Movimentações'!$E$2:$E$501,'Movimentações'!$B$2:$B$501,"Retirada objetivo",'Movimentações'!$G$2:$G$501,$A95),2))</x:f>
      </x:c>
      <x:c r="J95" s="52" t="str">
        <x:f>IF(A95="","",ROUND(C95+H95-I95,2))</x:f>
      </x:c>
      <x:c r="K95" s="52" t="str">
        <x:f>IF(A95="","",MAX(0,ROUND(B95-J95,2)))</x:f>
      </x:c>
      <x:c r="L95" s="58" t="str">
        <x:f>IF(A95="","",IF(B95&gt;0,MIN(1,J95/B95),0))</x:f>
      </x:c>
      <x:c r="M95" s="20" t="str">
        <x:f>IF(A95="","",IF(K95&lt;=0,0,IF(E95&gt;0,ROUNDUP(K95/E95,0),"")))</x:f>
      </x:c>
      <x:c r="N95" s="52" t="str">
        <x:f>IF(OR(A95="",D95="",K95&lt;=0),"",ROUNDUP(K95/MAX(1,(YEAR(D95)-YEAR('Painel'!$B$3))*12+MONTH(D95)-MONTH('Painel'!$B$3)),2))</x:f>
      </x:c>
      <x:c r="O95" s="20" t="str">
        <x:f>IF(A95="","",IF(K95&lt;=0,"Atingida",IF(D95="","Sem prazo",IF(E95&gt;=N95,"Viável","Pode não caber"))))</x:f>
      </x:c>
    </x:row>
    <x:row r="96">
      <x:c r="A96" s="20"/>
      <x:c r="B96" s="52"/>
      <x:c r="C96" s="52"/>
      <x:c r="D96" s="50"/>
      <x:c r="E96" s="52"/>
      <x:c r="F96" s="20"/>
      <x:c r="G96" s="20"/>
      <x:c r="H96" s="52" t="str">
        <x:f>IF(A96="","",ROUND(SUMIFS('Movimentações'!$E$2:$E$501,'Movimentações'!$B$2:$B$501,"Aporte objetivo",'Movimentações'!$G$2:$G$501,$A96),2))</x:f>
      </x:c>
      <x:c r="I96" s="52" t="str">
        <x:f>IF(A96="","",ROUND(SUMIFS('Movimentações'!$E$2:$E$501,'Movimentações'!$B$2:$B$501,"Retirada objetivo",'Movimentações'!$G$2:$G$501,$A96),2))</x:f>
      </x:c>
      <x:c r="J96" s="52" t="str">
        <x:f>IF(A96="","",ROUND(C96+H96-I96,2))</x:f>
      </x:c>
      <x:c r="K96" s="52" t="str">
        <x:f>IF(A96="","",MAX(0,ROUND(B96-J96,2)))</x:f>
      </x:c>
      <x:c r="L96" s="58" t="str">
        <x:f>IF(A96="","",IF(B96&gt;0,MIN(1,J96/B96),0))</x:f>
      </x:c>
      <x:c r="M96" s="20" t="str">
        <x:f>IF(A96="","",IF(K96&lt;=0,0,IF(E96&gt;0,ROUNDUP(K96/E96,0),"")))</x:f>
      </x:c>
      <x:c r="N96" s="52" t="str">
        <x:f>IF(OR(A96="",D96="",K96&lt;=0),"",ROUNDUP(K96/MAX(1,(YEAR(D96)-YEAR('Painel'!$B$3))*12+MONTH(D96)-MONTH('Painel'!$B$3)),2))</x:f>
      </x:c>
      <x:c r="O96" s="20" t="str">
        <x:f>IF(A96="","",IF(K96&lt;=0,"Atingida",IF(D96="","Sem prazo",IF(E96&gt;=N96,"Viável","Pode não caber"))))</x:f>
      </x:c>
    </x:row>
    <x:row r="97">
      <x:c r="A97" s="20"/>
      <x:c r="B97" s="52"/>
      <x:c r="C97" s="52"/>
      <x:c r="D97" s="50"/>
      <x:c r="E97" s="52"/>
      <x:c r="F97" s="20"/>
      <x:c r="G97" s="20"/>
      <x:c r="H97" s="52" t="str">
        <x:f>IF(A97="","",ROUND(SUMIFS('Movimentações'!$E$2:$E$501,'Movimentações'!$B$2:$B$501,"Aporte objetivo",'Movimentações'!$G$2:$G$501,$A97),2))</x:f>
      </x:c>
      <x:c r="I97" s="52" t="str">
        <x:f>IF(A97="","",ROUND(SUMIFS('Movimentações'!$E$2:$E$501,'Movimentações'!$B$2:$B$501,"Retirada objetivo",'Movimentações'!$G$2:$G$501,$A97),2))</x:f>
      </x:c>
      <x:c r="J97" s="52" t="str">
        <x:f>IF(A97="","",ROUND(C97+H97-I97,2))</x:f>
      </x:c>
      <x:c r="K97" s="52" t="str">
        <x:f>IF(A97="","",MAX(0,ROUND(B97-J97,2)))</x:f>
      </x:c>
      <x:c r="L97" s="58" t="str">
        <x:f>IF(A97="","",IF(B97&gt;0,MIN(1,J97/B97),0))</x:f>
      </x:c>
      <x:c r="M97" s="20" t="str">
        <x:f>IF(A97="","",IF(K97&lt;=0,0,IF(E97&gt;0,ROUNDUP(K97/E97,0),"")))</x:f>
      </x:c>
      <x:c r="N97" s="52" t="str">
        <x:f>IF(OR(A97="",D97="",K97&lt;=0),"",ROUNDUP(K97/MAX(1,(YEAR(D97)-YEAR('Painel'!$B$3))*12+MONTH(D97)-MONTH('Painel'!$B$3)),2))</x:f>
      </x:c>
      <x:c r="O97" s="20" t="str">
        <x:f>IF(A97="","",IF(K97&lt;=0,"Atingida",IF(D97="","Sem prazo",IF(E97&gt;=N97,"Viável","Pode não caber"))))</x:f>
      </x:c>
    </x:row>
    <x:row r="98">
      <x:c r="A98" s="20"/>
      <x:c r="B98" s="52"/>
      <x:c r="C98" s="52"/>
      <x:c r="D98" s="50"/>
      <x:c r="E98" s="52"/>
      <x:c r="F98" s="20"/>
      <x:c r="G98" s="20"/>
      <x:c r="H98" s="52" t="str">
        <x:f>IF(A98="","",ROUND(SUMIFS('Movimentações'!$E$2:$E$501,'Movimentações'!$B$2:$B$501,"Aporte objetivo",'Movimentações'!$G$2:$G$501,$A98),2))</x:f>
      </x:c>
      <x:c r="I98" s="52" t="str">
        <x:f>IF(A98="","",ROUND(SUMIFS('Movimentações'!$E$2:$E$501,'Movimentações'!$B$2:$B$501,"Retirada objetivo",'Movimentações'!$G$2:$G$501,$A98),2))</x:f>
      </x:c>
      <x:c r="J98" s="52" t="str">
        <x:f>IF(A98="","",ROUND(C98+H98-I98,2))</x:f>
      </x:c>
      <x:c r="K98" s="52" t="str">
        <x:f>IF(A98="","",MAX(0,ROUND(B98-J98,2)))</x:f>
      </x:c>
      <x:c r="L98" s="58" t="str">
        <x:f>IF(A98="","",IF(B98&gt;0,MIN(1,J98/B98),0))</x:f>
      </x:c>
      <x:c r="M98" s="20" t="str">
        <x:f>IF(A98="","",IF(K98&lt;=0,0,IF(E98&gt;0,ROUNDUP(K98/E98,0),"")))</x:f>
      </x:c>
      <x:c r="N98" s="52" t="str">
        <x:f>IF(OR(A98="",D98="",K98&lt;=0),"",ROUNDUP(K98/MAX(1,(YEAR(D98)-YEAR('Painel'!$B$3))*12+MONTH(D98)-MONTH('Painel'!$B$3)),2))</x:f>
      </x:c>
      <x:c r="O98" s="20" t="str">
        <x:f>IF(A98="","",IF(K98&lt;=0,"Atingida",IF(D98="","Sem prazo",IF(E98&gt;=N98,"Viável","Pode não caber"))))</x:f>
      </x:c>
    </x:row>
    <x:row r="99">
      <x:c r="A99" s="20"/>
      <x:c r="B99" s="52"/>
      <x:c r="C99" s="52"/>
      <x:c r="D99" s="50"/>
      <x:c r="E99" s="52"/>
      <x:c r="F99" s="20"/>
      <x:c r="G99" s="20"/>
      <x:c r="H99" s="52" t="str">
        <x:f>IF(A99="","",ROUND(SUMIFS('Movimentações'!$E$2:$E$501,'Movimentações'!$B$2:$B$501,"Aporte objetivo",'Movimentações'!$G$2:$G$501,$A99),2))</x:f>
      </x:c>
      <x:c r="I99" s="52" t="str">
        <x:f>IF(A99="","",ROUND(SUMIFS('Movimentações'!$E$2:$E$501,'Movimentações'!$B$2:$B$501,"Retirada objetivo",'Movimentações'!$G$2:$G$501,$A99),2))</x:f>
      </x:c>
      <x:c r="J99" s="52" t="str">
        <x:f>IF(A99="","",ROUND(C99+H99-I99,2))</x:f>
      </x:c>
      <x:c r="K99" s="52" t="str">
        <x:f>IF(A99="","",MAX(0,ROUND(B99-J99,2)))</x:f>
      </x:c>
      <x:c r="L99" s="58" t="str">
        <x:f>IF(A99="","",IF(B99&gt;0,MIN(1,J99/B99),0))</x:f>
      </x:c>
      <x:c r="M99" s="20" t="str">
        <x:f>IF(A99="","",IF(K99&lt;=0,0,IF(E99&gt;0,ROUNDUP(K99/E99,0),"")))</x:f>
      </x:c>
      <x:c r="N99" s="52" t="str">
        <x:f>IF(OR(A99="",D99="",K99&lt;=0),"",ROUNDUP(K99/MAX(1,(YEAR(D99)-YEAR('Painel'!$B$3))*12+MONTH(D99)-MONTH('Painel'!$B$3)),2))</x:f>
      </x:c>
      <x:c r="O99" s="20" t="str">
        <x:f>IF(A99="","",IF(K99&lt;=0,"Atingida",IF(D99="","Sem prazo",IF(E99&gt;=N99,"Viável","Pode não caber"))))</x:f>
      </x:c>
    </x:row>
    <x:row r="100">
      <x:c r="A100" s="20"/>
      <x:c r="B100" s="52"/>
      <x:c r="C100" s="52"/>
      <x:c r="D100" s="50"/>
      <x:c r="E100" s="52"/>
      <x:c r="F100" s="20"/>
      <x:c r="G100" s="20"/>
      <x:c r="H100" s="52" t="str">
        <x:f>IF(A100="","",ROUND(SUMIFS('Movimentações'!$E$2:$E$501,'Movimentações'!$B$2:$B$501,"Aporte objetivo",'Movimentações'!$G$2:$G$501,$A100),2))</x:f>
      </x:c>
      <x:c r="I100" s="52" t="str">
        <x:f>IF(A100="","",ROUND(SUMIFS('Movimentações'!$E$2:$E$501,'Movimentações'!$B$2:$B$501,"Retirada objetivo",'Movimentações'!$G$2:$G$501,$A100),2))</x:f>
      </x:c>
      <x:c r="J100" s="52" t="str">
        <x:f>IF(A100="","",ROUND(C100+H100-I100,2))</x:f>
      </x:c>
      <x:c r="K100" s="52" t="str">
        <x:f>IF(A100="","",MAX(0,ROUND(B100-J100,2)))</x:f>
      </x:c>
      <x:c r="L100" s="58" t="str">
        <x:f>IF(A100="","",IF(B100&gt;0,MIN(1,J100/B100),0))</x:f>
      </x:c>
      <x:c r="M100" s="20" t="str">
        <x:f>IF(A100="","",IF(K100&lt;=0,0,IF(E100&gt;0,ROUNDUP(K100/E100,0),"")))</x:f>
      </x:c>
      <x:c r="N100" s="52" t="str">
        <x:f>IF(OR(A100="",D100="",K100&lt;=0),"",ROUNDUP(K100/MAX(1,(YEAR(D100)-YEAR('Painel'!$B$3))*12+MONTH(D100)-MONTH('Painel'!$B$3)),2))</x:f>
      </x:c>
      <x:c r="O100" s="20" t="str">
        <x:f>IF(A100="","",IF(K100&lt;=0,"Atingida",IF(D100="","Sem prazo",IF(E100&gt;=N100,"Viável","Pode não caber"))))</x:f>
      </x:c>
    </x:row>
    <x:row r="101">
      <x:c r="A101" s="20"/>
      <x:c r="B101" s="52"/>
      <x:c r="C101" s="52"/>
      <x:c r="D101" s="50"/>
      <x:c r="E101" s="52"/>
      <x:c r="F101" s="20"/>
      <x:c r="G101" s="20"/>
      <x:c r="H101" s="52" t="str">
        <x:f>IF(A101="","",ROUND(SUMIFS('Movimentações'!$E$2:$E$501,'Movimentações'!$B$2:$B$501,"Aporte objetivo",'Movimentações'!$G$2:$G$501,$A101),2))</x:f>
      </x:c>
      <x:c r="I101" s="52" t="str">
        <x:f>IF(A101="","",ROUND(SUMIFS('Movimentações'!$E$2:$E$501,'Movimentações'!$B$2:$B$501,"Retirada objetivo",'Movimentações'!$G$2:$G$501,$A101),2))</x:f>
      </x:c>
      <x:c r="J101" s="52" t="str">
        <x:f>IF(A101="","",ROUND(C101+H101-I101,2))</x:f>
      </x:c>
      <x:c r="K101" s="52" t="str">
        <x:f>IF(A101="","",MAX(0,ROUND(B101-J101,2)))</x:f>
      </x:c>
      <x:c r="L101" s="58" t="str">
        <x:f>IF(A101="","",IF(B101&gt;0,MIN(1,J101/B101),0))</x:f>
      </x:c>
      <x:c r="M101" s="20" t="str">
        <x:f>IF(A101="","",IF(K101&lt;=0,0,IF(E101&gt;0,ROUNDUP(K101/E101,0),"")))</x:f>
      </x:c>
      <x:c r="N101" s="52" t="str">
        <x:f>IF(OR(A101="",D101="",K101&lt;=0),"",ROUNDUP(K101/MAX(1,(YEAR(D101)-YEAR('Painel'!$B$3))*12+MONTH(D101)-MONTH('Painel'!$B$3)),2))</x:f>
      </x:c>
      <x:c r="O101" s="20" t="str">
        <x:f>IF(A101="","",IF(K101&lt;=0,"Atingida",IF(D101="","Sem prazo",IF(E101&gt;=N101,"Viável","Pode não caber"))))</x:f>
      </x:c>
    </x:row>
  </x:sheetData>
  <x:conditionalFormatting sqref="O2:O101">
    <x:cfRule type="expression" dxfId="2" priority="1">
      <x:formula>$O2="Atingida"</x:formula>
    </x:cfRule>
    <x:cfRule type="expression" dxfId="3" priority="2">
      <x:formula>$O2="Pode não caber"</x:formula>
    </x:cfRule>
  </x:conditionalFormatting>
  <x:dataValidations count="2">
    <x:dataValidation type="list" sqref="G2:G101">
      <x:formula1>"Em andamento,Pausado,Concluído"</x:formula1>
    </x:dataValidation>
    <x:dataValidation type="list" sqref="F2:F101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9867e903f14e5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  <x:col min="3" max="3" width="14" hidden="0" customWidth="1"/>
    <x:col min="4" max="4" width="14" hidden="0" customWidth="1"/>
  </x:cols>
  <x:sheetData>
    <x:row r="1" ht="30" customHeight="1">
      <x:c r="A1" s="34" t="str">
        <x:v>RESERVA DE EMERGÊNCIA</x:v>
      </x:c>
      <x:c r="B1" s="34"/>
      <x:c r="C1" s="34"/>
      <x:c r="D1" s="34"/>
    </x:row>
    <x:row r="3">
      <x:c r="A3" s="25" t="str">
        <x:v>Saldo inicial informado (R$)</x:v>
      </x:c>
      <x:c r="B3" s="72" t="n">
        <x:v>1000</x:v>
      </x:c>
    </x:row>
    <x:row r="4">
      <x:c r="A4" s="25" t="str">
        <x:v>Meses essenciais desejados</x:v>
      </x:c>
      <x:c r="B4" s="41" t="n">
        <x:f>'Configurações'!$B$5</x:f>
        <x:v>6</x:v>
      </x:c>
    </x:row>
    <x:row r="5">
      <x:c r="A5" s="25" t="str">
        <x:v>Meta manual (R$; 0 = estimar)</x:v>
      </x:c>
      <x:c r="B5" s="44" t="n">
        <x:f>'Configurações'!$B$6</x:f>
        <x:v>0</x:v>
      </x:c>
    </x:row>
    <x:row r="6">
      <x:c r="A6" s="25" t="str">
        <x:v>Despesas essenciais pagas no mês selecionado</x:v>
      </x:c>
      <x:c r="B6" s="44" t="n">
        <x:f>ROUND(SUMIFS('Movimentações'!$E$2:$E$501,'Movimentações'!$B$2:$B$501,"Despesa",'Movimentações'!$F$2:$F$501,"Pago",'Movimentações'!$I$2:$I$501,"Sim",'Movimentações'!$A$2:$A$501,"&gt;="&amp;'Painel'!$B$3,'Movimentações'!$A$2:$A$501,"&lt;"&amp;DATE(YEAR('Painel'!$B$3),MONTH('Painel'!$B$3)+1,1))+SUMIFS('Contas recorrentes'!$M$2:$M$301,'Contas recorrentes'!$F$2:$F$301,"Paga",'Contas recorrentes'!$I$2:$I$301,"Sim",'Contas recorrentes'!$A$2:$A$301,"&gt;="&amp;'Painel'!$B$3,'Contas recorrentes'!$A$2:$A$301,"&lt;"&amp;DATE(YEAR('Painel'!$B$3),MONTH('Painel'!$B$3)+1,1)),2)</x:f>
        <x:v>1160</x:v>
      </x:c>
    </x:row>
    <x:row r="7">
      <x:c r="A7" s="25" t="str">
        <x:v>Meta calculada</x:v>
      </x:c>
      <x:c r="B7" s="44" t="n">
        <x:f>IF(B5&gt;0,B5,B6*B4)</x:f>
        <x:v>6960</x:v>
      </x:c>
    </x:row>
    <x:row r="8">
      <x:c r="A8" s="25" t="str">
        <x:v>Aportes registrados (histórico)</x:v>
      </x:c>
      <x:c r="B8" s="44" t="n">
        <x:f>ROUND(SUMIFS('Movimentações'!$E$2:$E$501,'Movimentações'!$B$2:$B$501,"Aporte reserva"),2)</x:f>
        <x:v>150</x:v>
      </x:c>
    </x:row>
    <x:row r="9">
      <x:c r="A9" s="25" t="str">
        <x:v>Retiradas registradas (histórico)</x:v>
      </x:c>
      <x:c r="B9" s="44" t="n">
        <x:f>ROUND(SUMIFS('Movimentações'!$E$2:$E$501,'Movimentações'!$B$2:$B$501,"Retirada reserva"),2)</x:f>
        <x:v>0</x:v>
      </x:c>
    </x:row>
    <x:row r="10">
      <x:c r="A10" s="25" t="str">
        <x:v>Saldo atual da reserva</x:v>
      </x:c>
      <x:c r="B10" s="44" t="n">
        <x:f>ROUND(B3+B8-B9,2)</x:f>
        <x:v>1150</x:v>
      </x:c>
    </x:row>
    <x:row r="11">
      <x:c r="A11" s="25" t="str">
        <x:v>Progresso da meta</x:v>
      </x:c>
      <x:c r="B11" s="74" t="n">
        <x:f>IF(B7&gt;0,MIN(1,B10/B7),0)</x:f>
        <x:v>0.16522988505747127</x:v>
      </x:c>
    </x:row>
    <x:row r="12">
      <x:c r="A12" s="25" t="str">
        <x:v>Cobertura em meses</x:v>
      </x:c>
      <x:c r="B12" s="76" t="n">
        <x:f>IF(B6&gt;0,B10/B6,"")</x:f>
        <x:v>0.9913793103448276</x:v>
      </x:c>
    </x:row>
    <x:row r="14" ht="42" customHeight="1">
      <x:c r="A14" s="30" t="str">
        <x:v>O saldo considera todos os aportes e retiradas na aba Movimentações. A estimativa de meta usa despesas essenciais PAGAS no mês selecionado; com dados incompletos, a meta também será incompleta.</x:v>
      </x:c>
      <x:c r="B14" s="30"/>
      <x:c r="C14" s="30"/>
      <x:c r="D14" s="30"/>
    </x:row>
  </x:sheetData>
  <x:mergeCells>
    <x:mergeCell ref="A1:D1"/>
    <x:mergeCell ref="A14:D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1" hidden="0" customWidth="1"/>
    <x:col min="4" max="4" width="20" hidden="0" customWidth="1"/>
    <x:col min="5" max="5" width="22" hidden="0" customWidth="1"/>
    <x:col min="6" max="6" width="20" hidden="0" customWidth="1"/>
    <x:col min="7" max="7" width="24" hidden="0" customWidth="1"/>
  </x:cols>
  <x:sheetData>
    <x:row r="1" ht="30" customHeight="1">
      <x:c r="A1" s="34" t="str">
        <x:v>RESUMO MENSAL • HISTÓRICO DE 12 MESES</x:v>
      </x:c>
      <x:c r="B1" s="34"/>
      <x:c r="C1" s="34"/>
      <x:c r="D1" s="34"/>
      <x:c r="E1" s="34"/>
      <x:c r="F1" s="34"/>
      <x:c r="G1" s="34"/>
    </x:row>
    <x:row r="3" ht="33" customHeight="1">
      <x:c r="A3" s="80" t="str">
        <x:v>Mês</x:v>
      </x:c>
      <x:c r="B3" s="80" t="str">
        <x:v>Renda projetada (R$)</x:v>
      </x:c>
      <x:c r="C3" s="80" t="str">
        <x:v>Renda recebida (R$)</x:v>
      </x:c>
      <x:c r="D3" s="80" t="str">
        <x:v>Despesas pagas (R$)</x:v>
      </x:c>
      <x:c r="E3" s="80" t="str">
        <x:v>Contas pendentes (R$)</x:v>
      </x:c>
      <x:c r="F3" s="80" t="str">
        <x:v>Aportes líquidos (R$)</x:v>
      </x:c>
      <x:c r="G3" s="80" t="str">
        <x:v>Dinheiro livre projetado (R$)</x:v>
      </x:c>
    </x:row>
    <x:row r="4">
      <x:c r="A4" s="100" t="n">
        <x:f>DATE(YEAR('Painel'!$B$3),MONTH('Painel'!$B$3)-11,1)</x:f>
        <x:v>45962</x:v>
      </x:c>
      <x:c r="B4" s="82" t="n">
        <x:f>ROUND(SUMIFS('Movimentações'!$E$2:$E$501,'Movimentações'!$B$2:$B$501,"Receita",'Movimentações'!$A$2:$A$501,"&gt;="&amp;$A4,'Movimentações'!$A$2:$A$501,"&lt;"&amp;DATE(YEAR($A4),MONTH($A4)+1,1))-SUMIFS('Movimentações'!$E$2:$E$501,'Movimentações'!$B$2:$B$501,"Receita",'Movimentações'!$C$2:$C$501,"Salário",'Movimentações'!$A$2:$A$501,"&gt;="&amp;$A4,'Movimentações'!$A$2:$A$501,"&lt;"&amp;DATE(YEAR($A4),MONTH($A4)+1,1))+IF(COUNTIFS('Movimentações'!$B$2:$B$501,"Receita",'Movimentações'!$C$2:$C$501,"Salário",'Movimentações'!$A$2:$A$501,"&gt;="&amp;$A4,'Movimentações'!$A$2:$A$501,"&lt;"&amp;DATE(YEAR($A4),MONTH($A4)+1,1))&gt;0,SUMIFS('Movimentações'!$E$2:$E$501,'Movimentações'!$B$2:$B$501,"Receita",'Movimentações'!$C$2:$C$501,"Salário",'Movimentações'!$A$2:$A$501,"&gt;="&amp;$A4,'Movimentações'!$A$2:$A$501,"&lt;"&amp;DATE(YEAR($A4),MONTH($A4)+1,1)),'Configurações'!$B$2),2)</x:f>
        <x:v>3200</x:v>
      </x:c>
      <x:c r="C4" s="82" t="n">
        <x:f>ROUND(SUMIFS('Movimentações'!$E$2:$E$501,'Movimentações'!$B$2:$B$501,"Receita",'Movimentações'!$F$2:$F$501,"Recebido",'Movimentações'!$A$2:$A$501,"&gt;="&amp;$A4,'Movimentações'!$A$2:$A$501,"&lt;"&amp;DATE(YEAR($A4),MONTH($A4)+1,1)),2)</x:f>
        <x:v>0</x:v>
      </x:c>
      <x:c r="D4" s="82" t="n">
        <x:f>ROUND(SUMIFS('Movimentações'!$E$2:$E$501,'Movimentações'!$B$2:$B$501,"Despesa",'Movimentações'!$F$2:$F$501,"Pago",'Movimentações'!$A$2:$A$501,"&gt;="&amp;$A4,'Movimentações'!$A$2:$A$501,"&lt;"&amp;DATE(YEAR($A4),MONTH($A4)+1,1))+SUMIFS('Contas recorrentes'!$M$2:$M$301,'Contas recorrentes'!$F$2:$F$301,"Paga",'Contas recorrentes'!$A$2:$A$301,"&gt;="&amp;$A4,'Contas recorrentes'!$A$2:$A$301,"&lt;"&amp;DATE(YEAR($A4),MONTH($A4)+1,1)),2)</x:f>
        <x:v>0</x:v>
      </x:c>
      <x:c r="E4" s="82" t="n">
        <x:f>ROUND(SUMIFS('Contas recorrentes'!$D$2:$D$301,'Contas recorrentes'!$F$2:$F$301,"Pendente",'Contas recorrentes'!$A$2:$A$301,"&gt;="&amp;$A4,'Contas recorrentes'!$A$2:$A$301,"&lt;"&amp;DATE(YEAR($A4),MONTH($A4)+1,1)),2)</x:f>
        <x:v>0</x:v>
      </x:c>
      <x:c r="F4" s="82" t="n">
        <x:f>ROUND(SUMIFS('Movimentações'!$E$2:$E$501,'Movimentações'!$B$2:$B$501,"Aporte objetivo",'Movimentações'!$A$2:$A$501,"&gt;="&amp;$A4,'Movimentações'!$A$2:$A$501,"&lt;"&amp;DATE(YEAR($A4),MONTH($A4)+1,1))+SUMIFS('Movimentações'!$E$2:$E$501,'Movimentações'!$B$2:$B$501,"Aporte reserva",'Movimentações'!$A$2:$A$501,"&gt;="&amp;$A4,'Movimentações'!$A$2:$A$501,"&lt;"&amp;DATE(YEAR($A4),MONTH($A4)+1,1))-SUMIFS('Movimentações'!$E$2:$E$501,'Movimentações'!$B$2:$B$501,"Retirada objetivo",'Movimentações'!$A$2:$A$501,"&gt;="&amp;$A4,'Movimentações'!$A$2:$A$501,"&lt;"&amp;DATE(YEAR($A4),MONTH($A4)+1,1))-SUMIFS('Movimentações'!$E$2:$E$501,'Movimentações'!$B$2:$B$501,"Retirada reserva",'Movimentações'!$A$2:$A$501,"&gt;="&amp;$A4,'Movimentações'!$A$2:$A$501,"&lt;"&amp;DATE(YEAR($A4),MONTH($A4)+1,1)),2)</x:f>
        <x:v>0</x:v>
      </x:c>
      <x:c r="G4" s="82" t="n">
        <x:f>ROUND(B4-D4-E4-ROUND(SUMIFS('Movimentações'!$E$2:$E$501,'Movimentações'!$B$2:$B$501,"Despesa",'Movimentações'!$F$2:$F$501,"Planejado",'Movimentações'!$A$2:$A$501,"&gt;="&amp;$A4,'Movimentações'!$A$2:$A$501,"&lt;"&amp;DATE(YEAR($A4),MONTH($A4)+1,1)),2)-F4,2)</x:f>
        <x:v>3200</x:v>
      </x:c>
    </x:row>
    <x:row r="5">
      <x:c r="A5" s="100" t="n">
        <x:f>DATE(YEAR(A4),MONTH(A4)+1,1)</x:f>
        <x:v>45992</x:v>
      </x:c>
      <x:c r="B5" s="82" t="n">
        <x:f>ROUND(SUMIFS('Movimentações'!$E$2:$E$501,'Movimentações'!$B$2:$B$501,"Receita",'Movimentações'!$A$2:$A$501,"&gt;="&amp;$A5,'Movimentações'!$A$2:$A$501,"&lt;"&amp;DATE(YEAR($A5),MONTH($A5)+1,1))-SUMIFS('Movimentações'!$E$2:$E$501,'Movimentações'!$B$2:$B$501,"Receita",'Movimentações'!$C$2:$C$501,"Salário",'Movimentações'!$A$2:$A$501,"&gt;="&amp;$A5,'Movimentações'!$A$2:$A$501,"&lt;"&amp;DATE(YEAR($A5),MONTH($A5)+1,1))+IF(COUNTIFS('Movimentações'!$B$2:$B$501,"Receita",'Movimentações'!$C$2:$C$501,"Salário",'Movimentações'!$A$2:$A$501,"&gt;="&amp;$A5,'Movimentações'!$A$2:$A$501,"&lt;"&amp;DATE(YEAR($A5),MONTH($A5)+1,1))&gt;0,SUMIFS('Movimentações'!$E$2:$E$501,'Movimentações'!$B$2:$B$501,"Receita",'Movimentações'!$C$2:$C$501,"Salário",'Movimentações'!$A$2:$A$501,"&gt;="&amp;$A5,'Movimentações'!$A$2:$A$501,"&lt;"&amp;DATE(YEAR($A5),MONTH($A5)+1,1)),'Configurações'!$B$2),2)</x:f>
        <x:v>3200</x:v>
      </x:c>
      <x:c r="C5" s="82" t="n">
        <x:f>ROUND(SUMIFS('Movimentações'!$E$2:$E$501,'Movimentações'!$B$2:$B$501,"Receita",'Movimentações'!$F$2:$F$501,"Recebido",'Movimentações'!$A$2:$A$501,"&gt;="&amp;$A5,'Movimentações'!$A$2:$A$501,"&lt;"&amp;DATE(YEAR($A5),MONTH($A5)+1,1)),2)</x:f>
        <x:v>0</x:v>
      </x:c>
      <x:c r="D5" s="82" t="n">
        <x:f>ROUND(SUMIFS('Movimentações'!$E$2:$E$501,'Movimentações'!$B$2:$B$501,"Despesa",'Movimentações'!$F$2:$F$501,"Pago",'Movimentações'!$A$2:$A$501,"&gt;="&amp;$A5,'Movimentações'!$A$2:$A$501,"&lt;"&amp;DATE(YEAR($A5),MONTH($A5)+1,1))+SUMIFS('Contas recorrentes'!$M$2:$M$301,'Contas recorrentes'!$F$2:$F$301,"Paga",'Contas recorrentes'!$A$2:$A$301,"&gt;="&amp;$A5,'Contas recorrentes'!$A$2:$A$301,"&lt;"&amp;DATE(YEAR($A5),MONTH($A5)+1,1)),2)</x:f>
        <x:v>0</x:v>
      </x:c>
      <x:c r="E5" s="82" t="n">
        <x:f>ROUND(SUMIFS('Contas recorrentes'!$D$2:$D$301,'Contas recorrentes'!$F$2:$F$301,"Pendente",'Contas recorrentes'!$A$2:$A$301,"&gt;="&amp;$A5,'Contas recorrentes'!$A$2:$A$301,"&lt;"&amp;DATE(YEAR($A5),MONTH($A5)+1,1)),2)</x:f>
        <x:v>0</x:v>
      </x:c>
      <x:c r="F5" s="82" t="n">
        <x:f>ROUND(SUMIFS('Movimentações'!$E$2:$E$501,'Movimentações'!$B$2:$B$501,"Aporte objetivo",'Movimentações'!$A$2:$A$501,"&gt;="&amp;$A5,'Movimentações'!$A$2:$A$501,"&lt;"&amp;DATE(YEAR($A5),MONTH($A5)+1,1))+SUMIFS('Movimentações'!$E$2:$E$501,'Movimentações'!$B$2:$B$501,"Aporte reserva",'Movimentações'!$A$2:$A$501,"&gt;="&amp;$A5,'Movimentações'!$A$2:$A$501,"&lt;"&amp;DATE(YEAR($A5),MONTH($A5)+1,1))-SUMIFS('Movimentações'!$E$2:$E$501,'Movimentações'!$B$2:$B$501,"Retirada objetivo",'Movimentações'!$A$2:$A$501,"&gt;="&amp;$A5,'Movimentações'!$A$2:$A$501,"&lt;"&amp;DATE(YEAR($A5),MONTH($A5)+1,1))-SUMIFS('Movimentações'!$E$2:$E$501,'Movimentações'!$B$2:$B$501,"Retirada reserva",'Movimentações'!$A$2:$A$501,"&gt;="&amp;$A5,'Movimentações'!$A$2:$A$501,"&lt;"&amp;DATE(YEAR($A5),MONTH($A5)+1,1)),2)</x:f>
        <x:v>0</x:v>
      </x:c>
      <x:c r="G5" s="82" t="n">
        <x:f>ROUND(B5-D5-E5-ROUND(SUMIFS('Movimentações'!$E$2:$E$501,'Movimentações'!$B$2:$B$501,"Despesa",'Movimentações'!$F$2:$F$501,"Planejado",'Movimentações'!$A$2:$A$501,"&gt;="&amp;$A5,'Movimentações'!$A$2:$A$501,"&lt;"&amp;DATE(YEAR($A5),MONTH($A5)+1,1)),2)-F5,2)</x:f>
        <x:v>3200</x:v>
      </x:c>
    </x:row>
    <x:row r="6">
      <x:c r="A6" s="100" t="n">
        <x:f>DATE(YEAR(A5),MONTH(A5)+1,1)</x:f>
        <x:v>46023</x:v>
      </x:c>
      <x:c r="B6" s="82" t="n">
        <x:f>ROUND(SUMIFS('Movimentações'!$E$2:$E$501,'Movimentações'!$B$2:$B$501,"Receita",'Movimentações'!$A$2:$A$501,"&gt;="&amp;$A6,'Movimentações'!$A$2:$A$501,"&lt;"&amp;DATE(YEAR($A6),MONTH($A6)+1,1))-SUMIFS('Movimentações'!$E$2:$E$501,'Movimentações'!$B$2:$B$501,"Receita",'Movimentações'!$C$2:$C$501,"Salário",'Movimentações'!$A$2:$A$501,"&gt;="&amp;$A6,'Movimentações'!$A$2:$A$501,"&lt;"&amp;DATE(YEAR($A6),MONTH($A6)+1,1))+IF(COUNTIFS('Movimentações'!$B$2:$B$501,"Receita",'Movimentações'!$C$2:$C$501,"Salário",'Movimentações'!$A$2:$A$501,"&gt;="&amp;$A6,'Movimentações'!$A$2:$A$501,"&lt;"&amp;DATE(YEAR($A6),MONTH($A6)+1,1))&gt;0,SUMIFS('Movimentações'!$E$2:$E$501,'Movimentações'!$B$2:$B$501,"Receita",'Movimentações'!$C$2:$C$501,"Salário",'Movimentações'!$A$2:$A$501,"&gt;="&amp;$A6,'Movimentações'!$A$2:$A$501,"&lt;"&amp;DATE(YEAR($A6),MONTH($A6)+1,1)),'Configurações'!$B$2),2)</x:f>
        <x:v>3200</x:v>
      </x:c>
      <x:c r="C6" s="82" t="n">
        <x:f>ROUND(SUMIFS('Movimentações'!$E$2:$E$501,'Movimentações'!$B$2:$B$501,"Receita",'Movimentações'!$F$2:$F$501,"Recebido",'Movimentações'!$A$2:$A$501,"&gt;="&amp;$A6,'Movimentações'!$A$2:$A$501,"&lt;"&amp;DATE(YEAR($A6),MONTH($A6)+1,1)),2)</x:f>
        <x:v>0</x:v>
      </x:c>
      <x:c r="D6" s="82" t="n">
        <x:f>ROUND(SUMIFS('Movimentações'!$E$2:$E$501,'Movimentações'!$B$2:$B$501,"Despesa",'Movimentações'!$F$2:$F$501,"Pago",'Movimentações'!$A$2:$A$501,"&gt;="&amp;$A6,'Movimentações'!$A$2:$A$501,"&lt;"&amp;DATE(YEAR($A6),MONTH($A6)+1,1))+SUMIFS('Contas recorrentes'!$M$2:$M$301,'Contas recorrentes'!$F$2:$F$301,"Paga",'Contas recorrentes'!$A$2:$A$301,"&gt;="&amp;$A6,'Contas recorrentes'!$A$2:$A$301,"&lt;"&amp;DATE(YEAR($A6),MONTH($A6)+1,1)),2)</x:f>
        <x:v>0</x:v>
      </x:c>
      <x:c r="E6" s="82" t="n">
        <x:f>ROUND(SUMIFS('Contas recorrentes'!$D$2:$D$301,'Contas recorrentes'!$F$2:$F$301,"Pendente",'Contas recorrentes'!$A$2:$A$301,"&gt;="&amp;$A6,'Contas recorrentes'!$A$2:$A$301,"&lt;"&amp;DATE(YEAR($A6),MONTH($A6)+1,1)),2)</x:f>
        <x:v>0</x:v>
      </x:c>
      <x:c r="F6" s="82" t="n">
        <x:f>ROUND(SUMIFS('Movimentações'!$E$2:$E$501,'Movimentações'!$B$2:$B$501,"Aporte objetivo",'Movimentações'!$A$2:$A$501,"&gt;="&amp;$A6,'Movimentações'!$A$2:$A$501,"&lt;"&amp;DATE(YEAR($A6),MONTH($A6)+1,1))+SUMIFS('Movimentações'!$E$2:$E$501,'Movimentações'!$B$2:$B$501,"Aporte reserva",'Movimentações'!$A$2:$A$501,"&gt;="&amp;$A6,'Movimentações'!$A$2:$A$501,"&lt;"&amp;DATE(YEAR($A6),MONTH($A6)+1,1))-SUMIFS('Movimentações'!$E$2:$E$501,'Movimentações'!$B$2:$B$501,"Retirada objetivo",'Movimentações'!$A$2:$A$501,"&gt;="&amp;$A6,'Movimentações'!$A$2:$A$501,"&lt;"&amp;DATE(YEAR($A6),MONTH($A6)+1,1))-SUMIFS('Movimentações'!$E$2:$E$501,'Movimentações'!$B$2:$B$501,"Retirada reserva",'Movimentações'!$A$2:$A$501,"&gt;="&amp;$A6,'Movimentações'!$A$2:$A$501,"&lt;"&amp;DATE(YEAR($A6),MONTH($A6)+1,1)),2)</x:f>
        <x:v>0</x:v>
      </x:c>
      <x:c r="G6" s="82" t="n">
        <x:f>ROUND(B6-D6-E6-ROUND(SUMIFS('Movimentações'!$E$2:$E$501,'Movimentações'!$B$2:$B$501,"Despesa",'Movimentações'!$F$2:$F$501,"Planejado",'Movimentações'!$A$2:$A$501,"&gt;="&amp;$A6,'Movimentações'!$A$2:$A$501,"&lt;"&amp;DATE(YEAR($A6),MONTH($A6)+1,1)),2)-F6,2)</x:f>
        <x:v>3200</x:v>
      </x:c>
    </x:row>
    <x:row r="7">
      <x:c r="A7" s="100" t="n">
        <x:f>DATE(YEAR(A6),MONTH(A6)+1,1)</x:f>
        <x:v>46054</x:v>
      </x:c>
      <x:c r="B7" s="82" t="n">
        <x:f>ROUND(SUMIFS('Movimentações'!$E$2:$E$501,'Movimentações'!$B$2:$B$501,"Receita",'Movimentações'!$A$2:$A$501,"&gt;="&amp;$A7,'Movimentações'!$A$2:$A$501,"&lt;"&amp;DATE(YEAR($A7),MONTH($A7)+1,1))-SUMIFS('Movimentações'!$E$2:$E$501,'Movimentações'!$B$2:$B$501,"Receita",'Movimentações'!$C$2:$C$501,"Salário",'Movimentações'!$A$2:$A$501,"&gt;="&amp;$A7,'Movimentações'!$A$2:$A$501,"&lt;"&amp;DATE(YEAR($A7),MONTH($A7)+1,1))+IF(COUNTIFS('Movimentações'!$B$2:$B$501,"Receita",'Movimentações'!$C$2:$C$501,"Salário",'Movimentações'!$A$2:$A$501,"&gt;="&amp;$A7,'Movimentações'!$A$2:$A$501,"&lt;"&amp;DATE(YEAR($A7),MONTH($A7)+1,1))&gt;0,SUMIFS('Movimentações'!$E$2:$E$501,'Movimentações'!$B$2:$B$501,"Receita",'Movimentações'!$C$2:$C$501,"Salário",'Movimentações'!$A$2:$A$501,"&gt;="&amp;$A7,'Movimentações'!$A$2:$A$501,"&lt;"&amp;DATE(YEAR($A7),MONTH($A7)+1,1)),'Configurações'!$B$2),2)</x:f>
        <x:v>3200</x:v>
      </x:c>
      <x:c r="C7" s="82" t="n">
        <x:f>ROUND(SUMIFS('Movimentações'!$E$2:$E$501,'Movimentações'!$B$2:$B$501,"Receita",'Movimentações'!$F$2:$F$501,"Recebido",'Movimentações'!$A$2:$A$501,"&gt;="&amp;$A7,'Movimentações'!$A$2:$A$501,"&lt;"&amp;DATE(YEAR($A7),MONTH($A7)+1,1)),2)</x:f>
        <x:v>0</x:v>
      </x:c>
      <x:c r="D7" s="82" t="n">
        <x:f>ROUND(SUMIFS('Movimentações'!$E$2:$E$501,'Movimentações'!$B$2:$B$501,"Despesa",'Movimentações'!$F$2:$F$501,"Pago",'Movimentações'!$A$2:$A$501,"&gt;="&amp;$A7,'Movimentações'!$A$2:$A$501,"&lt;"&amp;DATE(YEAR($A7),MONTH($A7)+1,1))+SUMIFS('Contas recorrentes'!$M$2:$M$301,'Contas recorrentes'!$F$2:$F$301,"Paga",'Contas recorrentes'!$A$2:$A$301,"&gt;="&amp;$A7,'Contas recorrentes'!$A$2:$A$301,"&lt;"&amp;DATE(YEAR($A7),MONTH($A7)+1,1)),2)</x:f>
        <x:v>0</x:v>
      </x:c>
      <x:c r="E7" s="82" t="n">
        <x:f>ROUND(SUMIFS('Contas recorrentes'!$D$2:$D$301,'Contas recorrentes'!$F$2:$F$301,"Pendente",'Contas recorrentes'!$A$2:$A$301,"&gt;="&amp;$A7,'Contas recorrentes'!$A$2:$A$301,"&lt;"&amp;DATE(YEAR($A7),MONTH($A7)+1,1)),2)</x:f>
        <x:v>0</x:v>
      </x:c>
      <x:c r="F7" s="82" t="n">
        <x:f>ROUND(SUMIFS('Movimentações'!$E$2:$E$501,'Movimentações'!$B$2:$B$501,"Aporte objetivo",'Movimentações'!$A$2:$A$501,"&gt;="&amp;$A7,'Movimentações'!$A$2:$A$501,"&lt;"&amp;DATE(YEAR($A7),MONTH($A7)+1,1))+SUMIFS('Movimentações'!$E$2:$E$501,'Movimentações'!$B$2:$B$501,"Aporte reserva",'Movimentações'!$A$2:$A$501,"&gt;="&amp;$A7,'Movimentações'!$A$2:$A$501,"&lt;"&amp;DATE(YEAR($A7),MONTH($A7)+1,1))-SUMIFS('Movimentações'!$E$2:$E$501,'Movimentações'!$B$2:$B$501,"Retirada objetivo",'Movimentações'!$A$2:$A$501,"&gt;="&amp;$A7,'Movimentações'!$A$2:$A$501,"&lt;"&amp;DATE(YEAR($A7),MONTH($A7)+1,1))-SUMIFS('Movimentações'!$E$2:$E$501,'Movimentações'!$B$2:$B$501,"Retirada reserva",'Movimentações'!$A$2:$A$501,"&gt;="&amp;$A7,'Movimentações'!$A$2:$A$501,"&lt;"&amp;DATE(YEAR($A7),MONTH($A7)+1,1)),2)</x:f>
        <x:v>0</x:v>
      </x:c>
      <x:c r="G7" s="82" t="n">
        <x:f>ROUND(B7-D7-E7-ROUND(SUMIFS('Movimentações'!$E$2:$E$501,'Movimentações'!$B$2:$B$501,"Despesa",'Movimentações'!$F$2:$F$501,"Planejado",'Movimentações'!$A$2:$A$501,"&gt;="&amp;$A7,'Movimentações'!$A$2:$A$501,"&lt;"&amp;DATE(YEAR($A7),MONTH($A7)+1,1)),2)-F7,2)</x:f>
        <x:v>3200</x:v>
      </x:c>
    </x:row>
    <x:row r="8">
      <x:c r="A8" s="100" t="n">
        <x:f>DATE(YEAR(A7),MONTH(A7)+1,1)</x:f>
        <x:v>46082</x:v>
      </x:c>
      <x:c r="B8" s="82" t="n">
        <x:f>ROUND(SUMIFS('Movimentações'!$E$2:$E$501,'Movimentações'!$B$2:$B$501,"Receita",'Movimentações'!$A$2:$A$501,"&gt;="&amp;$A8,'Movimentações'!$A$2:$A$501,"&lt;"&amp;DATE(YEAR($A8),MONTH($A8)+1,1))-SUMIFS('Movimentações'!$E$2:$E$501,'Movimentações'!$B$2:$B$501,"Receita",'Movimentações'!$C$2:$C$501,"Salário",'Movimentações'!$A$2:$A$501,"&gt;="&amp;$A8,'Movimentações'!$A$2:$A$501,"&lt;"&amp;DATE(YEAR($A8),MONTH($A8)+1,1))+IF(COUNTIFS('Movimentações'!$B$2:$B$501,"Receita",'Movimentações'!$C$2:$C$501,"Salário",'Movimentações'!$A$2:$A$501,"&gt;="&amp;$A8,'Movimentações'!$A$2:$A$501,"&lt;"&amp;DATE(YEAR($A8),MONTH($A8)+1,1))&gt;0,SUMIFS('Movimentações'!$E$2:$E$501,'Movimentações'!$B$2:$B$501,"Receita",'Movimentações'!$C$2:$C$501,"Salário",'Movimentações'!$A$2:$A$501,"&gt;="&amp;$A8,'Movimentações'!$A$2:$A$501,"&lt;"&amp;DATE(YEAR($A8),MONTH($A8)+1,1)),'Configurações'!$B$2),2)</x:f>
        <x:v>3200</x:v>
      </x:c>
      <x:c r="C8" s="82" t="n">
        <x:f>ROUND(SUMIFS('Movimentações'!$E$2:$E$501,'Movimentações'!$B$2:$B$501,"Receita",'Movimentações'!$F$2:$F$501,"Recebido",'Movimentações'!$A$2:$A$501,"&gt;="&amp;$A8,'Movimentações'!$A$2:$A$501,"&lt;"&amp;DATE(YEAR($A8),MONTH($A8)+1,1)),2)</x:f>
        <x:v>0</x:v>
      </x:c>
      <x:c r="D8" s="82" t="n">
        <x:f>ROUND(SUMIFS('Movimentações'!$E$2:$E$501,'Movimentações'!$B$2:$B$501,"Despesa",'Movimentações'!$F$2:$F$501,"Pago",'Movimentações'!$A$2:$A$501,"&gt;="&amp;$A8,'Movimentações'!$A$2:$A$501,"&lt;"&amp;DATE(YEAR($A8),MONTH($A8)+1,1))+SUMIFS('Contas recorrentes'!$M$2:$M$301,'Contas recorrentes'!$F$2:$F$301,"Paga",'Contas recorrentes'!$A$2:$A$301,"&gt;="&amp;$A8,'Contas recorrentes'!$A$2:$A$301,"&lt;"&amp;DATE(YEAR($A8),MONTH($A8)+1,1)),2)</x:f>
        <x:v>0</x:v>
      </x:c>
      <x:c r="E8" s="82" t="n">
        <x:f>ROUND(SUMIFS('Contas recorrentes'!$D$2:$D$301,'Contas recorrentes'!$F$2:$F$301,"Pendente",'Contas recorrentes'!$A$2:$A$301,"&gt;="&amp;$A8,'Contas recorrentes'!$A$2:$A$301,"&lt;"&amp;DATE(YEAR($A8),MONTH($A8)+1,1)),2)</x:f>
        <x:v>0</x:v>
      </x:c>
      <x:c r="F8" s="82" t="n">
        <x:f>ROUND(SUMIFS('Movimentações'!$E$2:$E$501,'Movimentações'!$B$2:$B$501,"Aporte objetivo",'Movimentações'!$A$2:$A$501,"&gt;="&amp;$A8,'Movimentações'!$A$2:$A$501,"&lt;"&amp;DATE(YEAR($A8),MONTH($A8)+1,1))+SUMIFS('Movimentações'!$E$2:$E$501,'Movimentações'!$B$2:$B$501,"Aporte reserva",'Movimentações'!$A$2:$A$501,"&gt;="&amp;$A8,'Movimentações'!$A$2:$A$501,"&lt;"&amp;DATE(YEAR($A8),MONTH($A8)+1,1))-SUMIFS('Movimentações'!$E$2:$E$501,'Movimentações'!$B$2:$B$501,"Retirada objetivo",'Movimentações'!$A$2:$A$501,"&gt;="&amp;$A8,'Movimentações'!$A$2:$A$501,"&lt;"&amp;DATE(YEAR($A8),MONTH($A8)+1,1))-SUMIFS('Movimentações'!$E$2:$E$501,'Movimentações'!$B$2:$B$501,"Retirada reserva",'Movimentações'!$A$2:$A$501,"&gt;="&amp;$A8,'Movimentações'!$A$2:$A$501,"&lt;"&amp;DATE(YEAR($A8),MONTH($A8)+1,1)),2)</x:f>
        <x:v>0</x:v>
      </x:c>
      <x:c r="G8" s="82" t="n">
        <x:f>ROUND(B8-D8-E8-ROUND(SUMIFS('Movimentações'!$E$2:$E$501,'Movimentações'!$B$2:$B$501,"Despesa",'Movimentações'!$F$2:$F$501,"Planejado",'Movimentações'!$A$2:$A$501,"&gt;="&amp;$A8,'Movimentações'!$A$2:$A$501,"&lt;"&amp;DATE(YEAR($A8),MONTH($A8)+1,1)),2)-F8,2)</x:f>
        <x:v>3200</x:v>
      </x:c>
    </x:row>
    <x:row r="9">
      <x:c r="A9" s="100" t="n">
        <x:f>DATE(YEAR(A8),MONTH(A8)+1,1)</x:f>
        <x:v>46113</x:v>
      </x:c>
      <x:c r="B9" s="82" t="n">
        <x:f>ROUND(SUMIFS('Movimentações'!$E$2:$E$501,'Movimentações'!$B$2:$B$501,"Receita",'Movimentações'!$A$2:$A$501,"&gt;="&amp;$A9,'Movimentações'!$A$2:$A$501,"&lt;"&amp;DATE(YEAR($A9),MONTH($A9)+1,1))-SUMIFS('Movimentações'!$E$2:$E$501,'Movimentações'!$B$2:$B$501,"Receita",'Movimentações'!$C$2:$C$501,"Salário",'Movimentações'!$A$2:$A$501,"&gt;="&amp;$A9,'Movimentações'!$A$2:$A$501,"&lt;"&amp;DATE(YEAR($A9),MONTH($A9)+1,1))+IF(COUNTIFS('Movimentações'!$B$2:$B$501,"Receita",'Movimentações'!$C$2:$C$501,"Salário",'Movimentações'!$A$2:$A$501,"&gt;="&amp;$A9,'Movimentações'!$A$2:$A$501,"&lt;"&amp;DATE(YEAR($A9),MONTH($A9)+1,1))&gt;0,SUMIFS('Movimentações'!$E$2:$E$501,'Movimentações'!$B$2:$B$501,"Receita",'Movimentações'!$C$2:$C$501,"Salário",'Movimentações'!$A$2:$A$501,"&gt;="&amp;$A9,'Movimentações'!$A$2:$A$501,"&lt;"&amp;DATE(YEAR($A9),MONTH($A9)+1,1)),'Configurações'!$B$2),2)</x:f>
        <x:v>3200</x:v>
      </x:c>
      <x:c r="C9" s="82" t="n">
        <x:f>ROUND(SUMIFS('Movimentações'!$E$2:$E$501,'Movimentações'!$B$2:$B$501,"Receita",'Movimentações'!$F$2:$F$501,"Recebido",'Movimentações'!$A$2:$A$501,"&gt;="&amp;$A9,'Movimentações'!$A$2:$A$501,"&lt;"&amp;DATE(YEAR($A9),MONTH($A9)+1,1)),2)</x:f>
        <x:v>0</x:v>
      </x:c>
      <x:c r="D9" s="82" t="n">
        <x:f>ROUND(SUMIFS('Movimentações'!$E$2:$E$501,'Movimentações'!$B$2:$B$501,"Despesa",'Movimentações'!$F$2:$F$501,"Pago",'Movimentações'!$A$2:$A$501,"&gt;="&amp;$A9,'Movimentações'!$A$2:$A$501,"&lt;"&amp;DATE(YEAR($A9),MONTH($A9)+1,1))+SUMIFS('Contas recorrentes'!$M$2:$M$301,'Contas recorrentes'!$F$2:$F$301,"Paga",'Contas recorrentes'!$A$2:$A$301,"&gt;="&amp;$A9,'Contas recorrentes'!$A$2:$A$301,"&lt;"&amp;DATE(YEAR($A9),MONTH($A9)+1,1)),2)</x:f>
        <x:v>0</x:v>
      </x:c>
      <x:c r="E9" s="82" t="n">
        <x:f>ROUND(SUMIFS('Contas recorrentes'!$D$2:$D$301,'Contas recorrentes'!$F$2:$F$301,"Pendente",'Contas recorrentes'!$A$2:$A$301,"&gt;="&amp;$A9,'Contas recorrentes'!$A$2:$A$301,"&lt;"&amp;DATE(YEAR($A9),MONTH($A9)+1,1)),2)</x:f>
        <x:v>0</x:v>
      </x:c>
      <x:c r="F9" s="82" t="n">
        <x:f>ROUND(SUMIFS('Movimentações'!$E$2:$E$501,'Movimentações'!$B$2:$B$501,"Aporte objetivo",'Movimentações'!$A$2:$A$501,"&gt;="&amp;$A9,'Movimentações'!$A$2:$A$501,"&lt;"&amp;DATE(YEAR($A9),MONTH($A9)+1,1))+SUMIFS('Movimentações'!$E$2:$E$501,'Movimentações'!$B$2:$B$501,"Aporte reserva",'Movimentações'!$A$2:$A$501,"&gt;="&amp;$A9,'Movimentações'!$A$2:$A$501,"&lt;"&amp;DATE(YEAR($A9),MONTH($A9)+1,1))-SUMIFS('Movimentações'!$E$2:$E$501,'Movimentações'!$B$2:$B$501,"Retirada objetivo",'Movimentações'!$A$2:$A$501,"&gt;="&amp;$A9,'Movimentações'!$A$2:$A$501,"&lt;"&amp;DATE(YEAR($A9),MONTH($A9)+1,1))-SUMIFS('Movimentações'!$E$2:$E$501,'Movimentações'!$B$2:$B$501,"Retirada reserva",'Movimentações'!$A$2:$A$501,"&gt;="&amp;$A9,'Movimentações'!$A$2:$A$501,"&lt;"&amp;DATE(YEAR($A9),MONTH($A9)+1,1)),2)</x:f>
        <x:v>0</x:v>
      </x:c>
      <x:c r="G9" s="82" t="n">
        <x:f>ROUND(B9-D9-E9-ROUND(SUMIFS('Movimentações'!$E$2:$E$501,'Movimentações'!$B$2:$B$501,"Despesa",'Movimentações'!$F$2:$F$501,"Planejado",'Movimentações'!$A$2:$A$501,"&gt;="&amp;$A9,'Movimentações'!$A$2:$A$501,"&lt;"&amp;DATE(YEAR($A9),MONTH($A9)+1,1)),2)-F9,2)</x:f>
        <x:v>3200</x:v>
      </x:c>
    </x:row>
    <x:row r="10">
      <x:c r="A10" s="100" t="n">
        <x:f>DATE(YEAR(A9),MONTH(A9)+1,1)</x:f>
        <x:v>46143</x:v>
      </x:c>
      <x:c r="B10" s="82" t="n">
        <x:f>ROUND(SUMIFS('Movimentações'!$E$2:$E$501,'Movimentações'!$B$2:$B$501,"Receita",'Movimentações'!$A$2:$A$501,"&gt;="&amp;$A10,'Movimentações'!$A$2:$A$501,"&lt;"&amp;DATE(YEAR($A10),MONTH($A10)+1,1))-SUMIFS('Movimentações'!$E$2:$E$501,'Movimentações'!$B$2:$B$501,"Receita",'Movimentações'!$C$2:$C$501,"Salário",'Movimentações'!$A$2:$A$501,"&gt;="&amp;$A10,'Movimentações'!$A$2:$A$501,"&lt;"&amp;DATE(YEAR($A10),MONTH($A10)+1,1))+IF(COUNTIFS('Movimentações'!$B$2:$B$501,"Receita",'Movimentações'!$C$2:$C$501,"Salário",'Movimentações'!$A$2:$A$501,"&gt;="&amp;$A10,'Movimentações'!$A$2:$A$501,"&lt;"&amp;DATE(YEAR($A10),MONTH($A10)+1,1))&gt;0,SUMIFS('Movimentações'!$E$2:$E$501,'Movimentações'!$B$2:$B$501,"Receita",'Movimentações'!$C$2:$C$501,"Salário",'Movimentações'!$A$2:$A$501,"&gt;="&amp;$A10,'Movimentações'!$A$2:$A$501,"&lt;"&amp;DATE(YEAR($A10),MONTH($A10)+1,1)),'Configurações'!$B$2),2)</x:f>
        <x:v>3200</x:v>
      </x:c>
      <x:c r="C10" s="82" t="n">
        <x:f>ROUND(SUMIFS('Movimentações'!$E$2:$E$501,'Movimentações'!$B$2:$B$501,"Receita",'Movimentações'!$F$2:$F$501,"Recebido",'Movimentações'!$A$2:$A$501,"&gt;="&amp;$A10,'Movimentações'!$A$2:$A$501,"&lt;"&amp;DATE(YEAR($A10),MONTH($A10)+1,1)),2)</x:f>
        <x:v>0</x:v>
      </x:c>
      <x:c r="D10" s="82" t="n">
        <x:f>ROUND(SUMIFS('Movimentações'!$E$2:$E$501,'Movimentações'!$B$2:$B$501,"Despesa",'Movimentações'!$F$2:$F$501,"Pago",'Movimentações'!$A$2:$A$501,"&gt;="&amp;$A10,'Movimentações'!$A$2:$A$501,"&lt;"&amp;DATE(YEAR($A10),MONTH($A10)+1,1))+SUMIFS('Contas recorrentes'!$M$2:$M$301,'Contas recorrentes'!$F$2:$F$301,"Paga",'Contas recorrentes'!$A$2:$A$301,"&gt;="&amp;$A10,'Contas recorrentes'!$A$2:$A$301,"&lt;"&amp;DATE(YEAR($A10),MONTH($A10)+1,1)),2)</x:f>
        <x:v>0</x:v>
      </x:c>
      <x:c r="E10" s="82" t="n">
        <x:f>ROUND(SUMIFS('Contas recorrentes'!$D$2:$D$301,'Contas recorrentes'!$F$2:$F$301,"Pendente",'Contas recorrentes'!$A$2:$A$301,"&gt;="&amp;$A10,'Contas recorrentes'!$A$2:$A$301,"&lt;"&amp;DATE(YEAR($A10),MONTH($A10)+1,1)),2)</x:f>
        <x:v>0</x:v>
      </x:c>
      <x:c r="F10" s="82" t="n">
        <x:f>ROUND(SUMIFS('Movimentações'!$E$2:$E$501,'Movimentações'!$B$2:$B$501,"Aporte objetivo",'Movimentações'!$A$2:$A$501,"&gt;="&amp;$A10,'Movimentações'!$A$2:$A$501,"&lt;"&amp;DATE(YEAR($A10),MONTH($A10)+1,1))+SUMIFS('Movimentações'!$E$2:$E$501,'Movimentações'!$B$2:$B$501,"Aporte reserva",'Movimentações'!$A$2:$A$501,"&gt;="&amp;$A10,'Movimentações'!$A$2:$A$501,"&lt;"&amp;DATE(YEAR($A10),MONTH($A10)+1,1))-SUMIFS('Movimentações'!$E$2:$E$501,'Movimentações'!$B$2:$B$501,"Retirada objetivo",'Movimentações'!$A$2:$A$501,"&gt;="&amp;$A10,'Movimentações'!$A$2:$A$501,"&lt;"&amp;DATE(YEAR($A10),MONTH($A10)+1,1))-SUMIFS('Movimentações'!$E$2:$E$501,'Movimentações'!$B$2:$B$501,"Retirada reserva",'Movimentações'!$A$2:$A$501,"&gt;="&amp;$A10,'Movimentações'!$A$2:$A$501,"&lt;"&amp;DATE(YEAR($A10),MONTH($A10)+1,1)),2)</x:f>
        <x:v>0</x:v>
      </x:c>
      <x:c r="G10" s="82" t="n">
        <x:f>ROUND(B10-D10-E10-ROUND(SUMIFS('Movimentações'!$E$2:$E$501,'Movimentações'!$B$2:$B$501,"Despesa",'Movimentações'!$F$2:$F$501,"Planejado",'Movimentações'!$A$2:$A$501,"&gt;="&amp;$A10,'Movimentações'!$A$2:$A$501,"&lt;"&amp;DATE(YEAR($A10),MONTH($A10)+1,1)),2)-F10,2)</x:f>
        <x:v>3200</x:v>
      </x:c>
    </x:row>
    <x:row r="11">
      <x:c r="A11" s="100" t="n">
        <x:f>DATE(YEAR(A10),MONTH(A10)+1,1)</x:f>
        <x:v>46174</x:v>
      </x:c>
      <x:c r="B11" s="82" t="n">
        <x:f>ROUND(SUMIFS('Movimentações'!$E$2:$E$501,'Movimentações'!$B$2:$B$501,"Receita",'Movimentações'!$A$2:$A$501,"&gt;="&amp;$A11,'Movimentações'!$A$2:$A$501,"&lt;"&amp;DATE(YEAR($A11),MONTH($A11)+1,1))-SUMIFS('Movimentações'!$E$2:$E$501,'Movimentações'!$B$2:$B$501,"Receita",'Movimentações'!$C$2:$C$501,"Salário",'Movimentações'!$A$2:$A$501,"&gt;="&amp;$A11,'Movimentações'!$A$2:$A$501,"&lt;"&amp;DATE(YEAR($A11),MONTH($A11)+1,1))+IF(COUNTIFS('Movimentações'!$B$2:$B$501,"Receita",'Movimentações'!$C$2:$C$501,"Salário",'Movimentações'!$A$2:$A$501,"&gt;="&amp;$A11,'Movimentações'!$A$2:$A$501,"&lt;"&amp;DATE(YEAR($A11),MONTH($A11)+1,1))&gt;0,SUMIFS('Movimentações'!$E$2:$E$501,'Movimentações'!$B$2:$B$501,"Receita",'Movimentações'!$C$2:$C$501,"Salário",'Movimentações'!$A$2:$A$501,"&gt;="&amp;$A11,'Movimentações'!$A$2:$A$501,"&lt;"&amp;DATE(YEAR($A11),MONTH($A11)+1,1)),'Configurações'!$B$2),2)</x:f>
        <x:v>3200</x:v>
      </x:c>
      <x:c r="C11" s="82" t="n">
        <x:f>ROUND(SUMIFS('Movimentações'!$E$2:$E$501,'Movimentações'!$B$2:$B$501,"Receita",'Movimentações'!$F$2:$F$501,"Recebido",'Movimentações'!$A$2:$A$501,"&gt;="&amp;$A11,'Movimentações'!$A$2:$A$501,"&lt;"&amp;DATE(YEAR($A11),MONTH($A11)+1,1)),2)</x:f>
        <x:v>0</x:v>
      </x:c>
      <x:c r="D11" s="82" t="n">
        <x:f>ROUND(SUMIFS('Movimentações'!$E$2:$E$501,'Movimentações'!$B$2:$B$501,"Despesa",'Movimentações'!$F$2:$F$501,"Pago",'Movimentações'!$A$2:$A$501,"&gt;="&amp;$A11,'Movimentações'!$A$2:$A$501,"&lt;"&amp;DATE(YEAR($A11),MONTH($A11)+1,1))+SUMIFS('Contas recorrentes'!$M$2:$M$301,'Contas recorrentes'!$F$2:$F$301,"Paga",'Contas recorrentes'!$A$2:$A$301,"&gt;="&amp;$A11,'Contas recorrentes'!$A$2:$A$301,"&lt;"&amp;DATE(YEAR($A11),MONTH($A11)+1,1)),2)</x:f>
        <x:v>0</x:v>
      </x:c>
      <x:c r="E11" s="82" t="n">
        <x:f>ROUND(SUMIFS('Contas recorrentes'!$D$2:$D$301,'Contas recorrentes'!$F$2:$F$301,"Pendente",'Contas recorrentes'!$A$2:$A$301,"&gt;="&amp;$A11,'Contas recorrentes'!$A$2:$A$301,"&lt;"&amp;DATE(YEAR($A11),MONTH($A11)+1,1)),2)</x:f>
        <x:v>0</x:v>
      </x:c>
      <x:c r="F11" s="82" t="n">
        <x:f>ROUND(SUMIFS('Movimentações'!$E$2:$E$501,'Movimentações'!$B$2:$B$501,"Aporte objetivo",'Movimentações'!$A$2:$A$501,"&gt;="&amp;$A11,'Movimentações'!$A$2:$A$501,"&lt;"&amp;DATE(YEAR($A11),MONTH($A11)+1,1))+SUMIFS('Movimentações'!$E$2:$E$501,'Movimentações'!$B$2:$B$501,"Aporte reserva",'Movimentações'!$A$2:$A$501,"&gt;="&amp;$A11,'Movimentações'!$A$2:$A$501,"&lt;"&amp;DATE(YEAR($A11),MONTH($A11)+1,1))-SUMIFS('Movimentações'!$E$2:$E$501,'Movimentações'!$B$2:$B$501,"Retirada objetivo",'Movimentações'!$A$2:$A$501,"&gt;="&amp;$A11,'Movimentações'!$A$2:$A$501,"&lt;"&amp;DATE(YEAR($A11),MONTH($A11)+1,1))-SUMIFS('Movimentações'!$E$2:$E$501,'Movimentações'!$B$2:$B$501,"Retirada reserva",'Movimentações'!$A$2:$A$501,"&gt;="&amp;$A11,'Movimentações'!$A$2:$A$501,"&lt;"&amp;DATE(YEAR($A11),MONTH($A11)+1,1)),2)</x:f>
        <x:v>0</x:v>
      </x:c>
      <x:c r="G11" s="82" t="n">
        <x:f>ROUND(B11-D11-E11-ROUND(SUMIFS('Movimentações'!$E$2:$E$501,'Movimentações'!$B$2:$B$501,"Despesa",'Movimentações'!$F$2:$F$501,"Planejado",'Movimentações'!$A$2:$A$501,"&gt;="&amp;$A11,'Movimentações'!$A$2:$A$501,"&lt;"&amp;DATE(YEAR($A11),MONTH($A11)+1,1)),2)-F11,2)</x:f>
        <x:v>3200</x:v>
      </x:c>
    </x:row>
    <x:row r="12">
      <x:c r="A12" s="100" t="n">
        <x:f>DATE(YEAR(A11),MONTH(A11)+1,1)</x:f>
        <x:v>46204</x:v>
      </x:c>
      <x:c r="B12" s="82" t="n">
        <x:f>ROUND(SUMIFS('Movimentações'!$E$2:$E$501,'Movimentações'!$B$2:$B$501,"Receita",'Movimentações'!$A$2:$A$501,"&gt;="&amp;$A12,'Movimentações'!$A$2:$A$501,"&lt;"&amp;DATE(YEAR($A12),MONTH($A12)+1,1))-SUMIFS('Movimentações'!$E$2:$E$501,'Movimentações'!$B$2:$B$501,"Receita",'Movimentações'!$C$2:$C$501,"Salário",'Movimentações'!$A$2:$A$501,"&gt;="&amp;$A12,'Movimentações'!$A$2:$A$501,"&lt;"&amp;DATE(YEAR($A12),MONTH($A12)+1,1))+IF(COUNTIFS('Movimentações'!$B$2:$B$501,"Receita",'Movimentações'!$C$2:$C$501,"Salário",'Movimentações'!$A$2:$A$501,"&gt;="&amp;$A12,'Movimentações'!$A$2:$A$501,"&lt;"&amp;DATE(YEAR($A12),MONTH($A12)+1,1))&gt;0,SUMIFS('Movimentações'!$E$2:$E$501,'Movimentações'!$B$2:$B$501,"Receita",'Movimentações'!$C$2:$C$501,"Salário",'Movimentações'!$A$2:$A$501,"&gt;="&amp;$A12,'Movimentações'!$A$2:$A$501,"&lt;"&amp;DATE(YEAR($A12),MONTH($A12)+1,1)),'Configurações'!$B$2),2)</x:f>
        <x:v>3200</x:v>
      </x:c>
      <x:c r="C12" s="82" t="n">
        <x:f>ROUND(SUMIFS('Movimentações'!$E$2:$E$501,'Movimentações'!$B$2:$B$501,"Receita",'Movimentações'!$F$2:$F$501,"Recebido",'Movimentações'!$A$2:$A$501,"&gt;="&amp;$A12,'Movimentações'!$A$2:$A$501,"&lt;"&amp;DATE(YEAR($A12),MONTH($A12)+1,1)),2)</x:f>
        <x:v>0</x:v>
      </x:c>
      <x:c r="D12" s="82" t="n">
        <x:f>ROUND(SUMIFS('Movimentações'!$E$2:$E$501,'Movimentações'!$B$2:$B$501,"Despesa",'Movimentações'!$F$2:$F$501,"Pago",'Movimentações'!$A$2:$A$501,"&gt;="&amp;$A12,'Movimentações'!$A$2:$A$501,"&lt;"&amp;DATE(YEAR($A12),MONTH($A12)+1,1))+SUMIFS('Contas recorrentes'!$M$2:$M$301,'Contas recorrentes'!$F$2:$F$301,"Paga",'Contas recorrentes'!$A$2:$A$301,"&gt;="&amp;$A12,'Contas recorrentes'!$A$2:$A$301,"&lt;"&amp;DATE(YEAR($A12),MONTH($A12)+1,1)),2)</x:f>
        <x:v>0</x:v>
      </x:c>
      <x:c r="E12" s="82" t="n">
        <x:f>ROUND(SUMIFS('Contas recorrentes'!$D$2:$D$301,'Contas recorrentes'!$F$2:$F$301,"Pendente",'Contas recorrentes'!$A$2:$A$301,"&gt;="&amp;$A12,'Contas recorrentes'!$A$2:$A$301,"&lt;"&amp;DATE(YEAR($A12),MONTH($A12)+1,1)),2)</x:f>
        <x:v>0</x:v>
      </x:c>
      <x:c r="F12" s="82" t="n">
        <x:f>ROUND(SUMIFS('Movimentações'!$E$2:$E$501,'Movimentações'!$B$2:$B$501,"Aporte objetivo",'Movimentações'!$A$2:$A$501,"&gt;="&amp;$A12,'Movimentações'!$A$2:$A$501,"&lt;"&amp;DATE(YEAR($A12),MONTH($A12)+1,1))+SUMIFS('Movimentações'!$E$2:$E$501,'Movimentações'!$B$2:$B$501,"Aporte reserva",'Movimentações'!$A$2:$A$501,"&gt;="&amp;$A12,'Movimentações'!$A$2:$A$501,"&lt;"&amp;DATE(YEAR($A12),MONTH($A12)+1,1))-SUMIFS('Movimentações'!$E$2:$E$501,'Movimentações'!$B$2:$B$501,"Retirada objetivo",'Movimentações'!$A$2:$A$501,"&gt;="&amp;$A12,'Movimentações'!$A$2:$A$501,"&lt;"&amp;DATE(YEAR($A12),MONTH($A12)+1,1))-SUMIFS('Movimentações'!$E$2:$E$501,'Movimentações'!$B$2:$B$501,"Retirada reserva",'Movimentações'!$A$2:$A$501,"&gt;="&amp;$A12,'Movimentações'!$A$2:$A$501,"&lt;"&amp;DATE(YEAR($A12),MONTH($A12)+1,1)),2)</x:f>
        <x:v>0</x:v>
      </x:c>
      <x:c r="G12" s="82" t="n">
        <x:f>ROUND(B12-D12-E12-ROUND(SUMIFS('Movimentações'!$E$2:$E$501,'Movimentações'!$B$2:$B$501,"Despesa",'Movimentações'!$F$2:$F$501,"Planejado",'Movimentações'!$A$2:$A$501,"&gt;="&amp;$A12,'Movimentações'!$A$2:$A$501,"&lt;"&amp;DATE(YEAR($A12),MONTH($A12)+1,1)),2)-F12,2)</x:f>
        <x:v>3200</x:v>
      </x:c>
    </x:row>
    <x:row r="13">
      <x:c r="A13" s="100" t="n">
        <x:f>DATE(YEAR(A12),MONTH(A12)+1,1)</x:f>
        <x:v>46235</x:v>
      </x:c>
      <x:c r="B13" s="82" t="n">
        <x:f>ROUND(SUMIFS('Movimentações'!$E$2:$E$501,'Movimentações'!$B$2:$B$501,"Receita",'Movimentações'!$A$2:$A$501,"&gt;="&amp;$A13,'Movimentações'!$A$2:$A$501,"&lt;"&amp;DATE(YEAR($A13),MONTH($A13)+1,1))-SUMIFS('Movimentações'!$E$2:$E$501,'Movimentações'!$B$2:$B$501,"Receita",'Movimentações'!$C$2:$C$501,"Salário",'Movimentações'!$A$2:$A$501,"&gt;="&amp;$A13,'Movimentações'!$A$2:$A$501,"&lt;"&amp;DATE(YEAR($A13),MONTH($A13)+1,1))+IF(COUNTIFS('Movimentações'!$B$2:$B$501,"Receita",'Movimentações'!$C$2:$C$501,"Salário",'Movimentações'!$A$2:$A$501,"&gt;="&amp;$A13,'Movimentações'!$A$2:$A$501,"&lt;"&amp;DATE(YEAR($A13),MONTH($A13)+1,1))&gt;0,SUMIFS('Movimentações'!$E$2:$E$501,'Movimentações'!$B$2:$B$501,"Receita",'Movimentações'!$C$2:$C$501,"Salário",'Movimentações'!$A$2:$A$501,"&gt;="&amp;$A13,'Movimentações'!$A$2:$A$501,"&lt;"&amp;DATE(YEAR($A13),MONTH($A13)+1,1)),'Configurações'!$B$2),2)</x:f>
        <x:v>3200</x:v>
      </x:c>
      <x:c r="C13" s="82" t="n">
        <x:f>ROUND(SUMIFS('Movimentações'!$E$2:$E$501,'Movimentações'!$B$2:$B$501,"Receita",'Movimentações'!$F$2:$F$501,"Recebido",'Movimentações'!$A$2:$A$501,"&gt;="&amp;$A13,'Movimentações'!$A$2:$A$501,"&lt;"&amp;DATE(YEAR($A13),MONTH($A13)+1,1)),2)</x:f>
        <x:v>0</x:v>
      </x:c>
      <x:c r="D13" s="82" t="n">
        <x:f>ROUND(SUMIFS('Movimentações'!$E$2:$E$501,'Movimentações'!$B$2:$B$501,"Despesa",'Movimentações'!$F$2:$F$501,"Pago",'Movimentações'!$A$2:$A$501,"&gt;="&amp;$A13,'Movimentações'!$A$2:$A$501,"&lt;"&amp;DATE(YEAR($A13),MONTH($A13)+1,1))+SUMIFS('Contas recorrentes'!$M$2:$M$301,'Contas recorrentes'!$F$2:$F$301,"Paga",'Contas recorrentes'!$A$2:$A$301,"&gt;="&amp;$A13,'Contas recorrentes'!$A$2:$A$301,"&lt;"&amp;DATE(YEAR($A13),MONTH($A13)+1,1)),2)</x:f>
        <x:v>0</x:v>
      </x:c>
      <x:c r="E13" s="82" t="n">
        <x:f>ROUND(SUMIFS('Contas recorrentes'!$D$2:$D$301,'Contas recorrentes'!$F$2:$F$301,"Pendente",'Contas recorrentes'!$A$2:$A$301,"&gt;="&amp;$A13,'Contas recorrentes'!$A$2:$A$301,"&lt;"&amp;DATE(YEAR($A13),MONTH($A13)+1,1)),2)</x:f>
        <x:v>0</x:v>
      </x:c>
      <x:c r="F13" s="82" t="n">
        <x:f>ROUND(SUMIFS('Movimentações'!$E$2:$E$501,'Movimentações'!$B$2:$B$501,"Aporte objetivo",'Movimentações'!$A$2:$A$501,"&gt;="&amp;$A13,'Movimentações'!$A$2:$A$501,"&lt;"&amp;DATE(YEAR($A13),MONTH($A13)+1,1))+SUMIFS('Movimentações'!$E$2:$E$501,'Movimentações'!$B$2:$B$501,"Aporte reserva",'Movimentações'!$A$2:$A$501,"&gt;="&amp;$A13,'Movimentações'!$A$2:$A$501,"&lt;"&amp;DATE(YEAR($A13),MONTH($A13)+1,1))-SUMIFS('Movimentações'!$E$2:$E$501,'Movimentações'!$B$2:$B$501,"Retirada objetivo",'Movimentações'!$A$2:$A$501,"&gt;="&amp;$A13,'Movimentações'!$A$2:$A$501,"&lt;"&amp;DATE(YEAR($A13),MONTH($A13)+1,1))-SUMIFS('Movimentações'!$E$2:$E$501,'Movimentações'!$B$2:$B$501,"Retirada reserva",'Movimentações'!$A$2:$A$501,"&gt;="&amp;$A13,'Movimentações'!$A$2:$A$501,"&lt;"&amp;DATE(YEAR($A13),MONTH($A13)+1,1)),2)</x:f>
        <x:v>0</x:v>
      </x:c>
      <x:c r="G13" s="82" t="n">
        <x:f>ROUND(B13-D13-E13-ROUND(SUMIFS('Movimentações'!$E$2:$E$501,'Movimentações'!$B$2:$B$501,"Despesa",'Movimentações'!$F$2:$F$501,"Planejado",'Movimentações'!$A$2:$A$501,"&gt;="&amp;$A13,'Movimentações'!$A$2:$A$501,"&lt;"&amp;DATE(YEAR($A13),MONTH($A13)+1,1)),2)-F13,2)</x:f>
        <x:v>3200</x:v>
      </x:c>
    </x:row>
    <x:row r="14">
      <x:c r="A14" s="100" t="n">
        <x:f>DATE(YEAR(A13),MONTH(A13)+1,1)</x:f>
        <x:v>46266</x:v>
      </x:c>
      <x:c r="B14" s="82" t="n">
        <x:f>ROUND(SUMIFS('Movimentações'!$E$2:$E$501,'Movimentações'!$B$2:$B$501,"Receita",'Movimentações'!$A$2:$A$501,"&gt;="&amp;$A14,'Movimentações'!$A$2:$A$501,"&lt;"&amp;DATE(YEAR($A14),MONTH($A14)+1,1))-SUMIFS('Movimentações'!$E$2:$E$501,'Movimentações'!$B$2:$B$501,"Receita",'Movimentações'!$C$2:$C$501,"Salário",'Movimentações'!$A$2:$A$501,"&gt;="&amp;$A14,'Movimentações'!$A$2:$A$501,"&lt;"&amp;DATE(YEAR($A14),MONTH($A14)+1,1))+IF(COUNTIFS('Movimentações'!$B$2:$B$501,"Receita",'Movimentações'!$C$2:$C$501,"Salário",'Movimentações'!$A$2:$A$501,"&gt;="&amp;$A14,'Movimentações'!$A$2:$A$501,"&lt;"&amp;DATE(YEAR($A14),MONTH($A14)+1,1))&gt;0,SUMIFS('Movimentações'!$E$2:$E$501,'Movimentações'!$B$2:$B$501,"Receita",'Movimentações'!$C$2:$C$501,"Salário",'Movimentações'!$A$2:$A$501,"&gt;="&amp;$A14,'Movimentações'!$A$2:$A$501,"&lt;"&amp;DATE(YEAR($A14),MONTH($A14)+1,1)),'Configurações'!$B$2),2)</x:f>
        <x:v>3200</x:v>
      </x:c>
      <x:c r="C14" s="82" t="n">
        <x:f>ROUND(SUMIFS('Movimentações'!$E$2:$E$501,'Movimentações'!$B$2:$B$501,"Receita",'Movimentações'!$F$2:$F$501,"Recebido",'Movimentações'!$A$2:$A$501,"&gt;="&amp;$A14,'Movimentações'!$A$2:$A$501,"&lt;"&amp;DATE(YEAR($A14),MONTH($A14)+1,1)),2)</x:f>
        <x:v>0</x:v>
      </x:c>
      <x:c r="D14" s="82" t="n">
        <x:f>ROUND(SUMIFS('Movimentações'!$E$2:$E$501,'Movimentações'!$B$2:$B$501,"Despesa",'Movimentações'!$F$2:$F$501,"Pago",'Movimentações'!$A$2:$A$501,"&gt;="&amp;$A14,'Movimentações'!$A$2:$A$501,"&lt;"&amp;DATE(YEAR($A14),MONTH($A14)+1,1))+SUMIFS('Contas recorrentes'!$M$2:$M$301,'Contas recorrentes'!$F$2:$F$301,"Paga",'Contas recorrentes'!$A$2:$A$301,"&gt;="&amp;$A14,'Contas recorrentes'!$A$2:$A$301,"&lt;"&amp;DATE(YEAR($A14),MONTH($A14)+1,1)),2)</x:f>
        <x:v>0</x:v>
      </x:c>
      <x:c r="E14" s="82" t="n">
        <x:f>ROUND(SUMIFS('Contas recorrentes'!$D$2:$D$301,'Contas recorrentes'!$F$2:$F$301,"Pendente",'Contas recorrentes'!$A$2:$A$301,"&gt;="&amp;$A14,'Contas recorrentes'!$A$2:$A$301,"&lt;"&amp;DATE(YEAR($A14),MONTH($A14)+1,1)),2)</x:f>
        <x:v>0</x:v>
      </x:c>
      <x:c r="F14" s="82" t="n">
        <x:f>ROUND(SUMIFS('Movimentações'!$E$2:$E$501,'Movimentações'!$B$2:$B$501,"Aporte objetivo",'Movimentações'!$A$2:$A$501,"&gt;="&amp;$A14,'Movimentações'!$A$2:$A$501,"&lt;"&amp;DATE(YEAR($A14),MONTH($A14)+1,1))+SUMIFS('Movimentações'!$E$2:$E$501,'Movimentações'!$B$2:$B$501,"Aporte reserva",'Movimentações'!$A$2:$A$501,"&gt;="&amp;$A14,'Movimentações'!$A$2:$A$501,"&lt;"&amp;DATE(YEAR($A14),MONTH($A14)+1,1))-SUMIFS('Movimentações'!$E$2:$E$501,'Movimentações'!$B$2:$B$501,"Retirada objetivo",'Movimentações'!$A$2:$A$501,"&gt;="&amp;$A14,'Movimentações'!$A$2:$A$501,"&lt;"&amp;DATE(YEAR($A14),MONTH($A14)+1,1))-SUMIFS('Movimentações'!$E$2:$E$501,'Movimentações'!$B$2:$B$501,"Retirada reserva",'Movimentações'!$A$2:$A$501,"&gt;="&amp;$A14,'Movimentações'!$A$2:$A$501,"&lt;"&amp;DATE(YEAR($A14),MONTH($A14)+1,1)),2)</x:f>
        <x:v>0</x:v>
      </x:c>
      <x:c r="G14" s="82" t="n">
        <x:f>ROUND(B14-D14-E14-ROUND(SUMIFS('Movimentações'!$E$2:$E$501,'Movimentações'!$B$2:$B$501,"Despesa",'Movimentações'!$F$2:$F$501,"Planejado",'Movimentações'!$A$2:$A$501,"&gt;="&amp;$A14,'Movimentações'!$A$2:$A$501,"&lt;"&amp;DATE(YEAR($A14),MONTH($A14)+1,1)),2)-F14,2)</x:f>
        <x:v>3200</x:v>
      </x:c>
    </x:row>
    <x:row r="15">
      <x:c r="A15" s="100" t="n">
        <x:f>DATE(YEAR(A14),MONTH(A14)+1,1)</x:f>
        <x:v>46296</x:v>
      </x:c>
      <x:c r="B15" s="82" t="n">
        <x:f>ROUND(SUMIFS('Movimentações'!$E$2:$E$501,'Movimentações'!$B$2:$B$501,"Receita",'Movimentações'!$A$2:$A$501,"&gt;="&amp;$A15,'Movimentações'!$A$2:$A$501,"&lt;"&amp;DATE(YEAR($A15),MONTH($A15)+1,1))-SUMIFS('Movimentações'!$E$2:$E$501,'Movimentações'!$B$2:$B$501,"Receita",'Movimentações'!$C$2:$C$501,"Salário",'Movimentações'!$A$2:$A$501,"&gt;="&amp;$A15,'Movimentações'!$A$2:$A$501,"&lt;"&amp;DATE(YEAR($A15),MONTH($A15)+1,1))+IF(COUNTIFS('Movimentações'!$B$2:$B$501,"Receita",'Movimentações'!$C$2:$C$501,"Salário",'Movimentações'!$A$2:$A$501,"&gt;="&amp;$A15,'Movimentações'!$A$2:$A$501,"&lt;"&amp;DATE(YEAR($A15),MONTH($A15)+1,1))&gt;0,SUMIFS('Movimentações'!$E$2:$E$501,'Movimentações'!$B$2:$B$501,"Receita",'Movimentações'!$C$2:$C$501,"Salário",'Movimentações'!$A$2:$A$501,"&gt;="&amp;$A15,'Movimentações'!$A$2:$A$501,"&lt;"&amp;DATE(YEAR($A15),MONTH($A15)+1,1)),'Configurações'!$B$2),2)</x:f>
        <x:v>3200</x:v>
      </x:c>
      <x:c r="C15" s="82" t="n">
        <x:f>ROUND(SUMIFS('Movimentações'!$E$2:$E$501,'Movimentações'!$B$2:$B$501,"Receita",'Movimentações'!$F$2:$F$501,"Recebido",'Movimentações'!$A$2:$A$501,"&gt;="&amp;$A15,'Movimentações'!$A$2:$A$501,"&lt;"&amp;DATE(YEAR($A15),MONTH($A15)+1,1)),2)</x:f>
        <x:v>3200</x:v>
      </x:c>
      <x:c r="D15" s="82" t="n">
        <x:f>ROUND(SUMIFS('Movimentações'!$E$2:$E$501,'Movimentações'!$B$2:$B$501,"Despesa",'Movimentações'!$F$2:$F$501,"Pago",'Movimentações'!$A$2:$A$501,"&gt;="&amp;$A15,'Movimentações'!$A$2:$A$501,"&lt;"&amp;DATE(YEAR($A15),MONTH($A15)+1,1))+SUMIFS('Contas recorrentes'!$M$2:$M$301,'Contas recorrentes'!$F$2:$F$301,"Paga",'Contas recorrentes'!$A$2:$A$301,"&gt;="&amp;$A15,'Contas recorrentes'!$A$2:$A$301,"&lt;"&amp;DATE(YEAR($A15),MONTH($A15)+1,1)),2)</x:f>
        <x:v>1205</x:v>
      </x:c>
      <x:c r="E15" s="82" t="n">
        <x:f>ROUND(SUMIFS('Contas recorrentes'!$D$2:$D$301,'Contas recorrentes'!$F$2:$F$301,"Pendente",'Contas recorrentes'!$A$2:$A$301,"&gt;="&amp;$A15,'Contas recorrentes'!$A$2:$A$301,"&lt;"&amp;DATE(YEAR($A15),MONTH($A15)+1,1)),2)</x:f>
        <x:v>210</x:v>
      </x:c>
      <x:c r="F15" s="82" t="n">
        <x:f>ROUND(SUMIFS('Movimentações'!$E$2:$E$501,'Movimentações'!$B$2:$B$501,"Aporte objetivo",'Movimentações'!$A$2:$A$501,"&gt;="&amp;$A15,'Movimentações'!$A$2:$A$501,"&lt;"&amp;DATE(YEAR($A15),MONTH($A15)+1,1))+SUMIFS('Movimentações'!$E$2:$E$501,'Movimentações'!$B$2:$B$501,"Aporte reserva",'Movimentações'!$A$2:$A$501,"&gt;="&amp;$A15,'Movimentações'!$A$2:$A$501,"&lt;"&amp;DATE(YEAR($A15),MONTH($A15)+1,1))-SUMIFS('Movimentações'!$E$2:$E$501,'Movimentações'!$B$2:$B$501,"Retirada objetivo",'Movimentações'!$A$2:$A$501,"&gt;="&amp;$A15,'Movimentações'!$A$2:$A$501,"&lt;"&amp;DATE(YEAR($A15),MONTH($A15)+1,1))-SUMIFS('Movimentações'!$E$2:$E$501,'Movimentações'!$B$2:$B$501,"Retirada reserva",'Movimentações'!$A$2:$A$501,"&gt;="&amp;$A15,'Movimentações'!$A$2:$A$501,"&lt;"&amp;DATE(YEAR($A15),MONTH($A15)+1,1)),2)</x:f>
        <x:v>350</x:v>
      </x:c>
      <x:c r="G15" s="82" t="n">
        <x:f>ROUND(B15-D15-E15-ROUND(SUMIFS('Movimentações'!$E$2:$E$501,'Movimentações'!$B$2:$B$501,"Despesa",'Movimentações'!$F$2:$F$501,"Planejado",'Movimentações'!$A$2:$A$501,"&gt;="&amp;$A15,'Movimentações'!$A$2:$A$501,"&lt;"&amp;DATE(YEAR($A15),MONTH($A15)+1,1)),2)-F15,2)</x:f>
        <x:v>1435</x:v>
      </x:c>
    </x:row>
  </x:sheetData>
  <x:mergeCells>
    <x:mergeCell ref="A1:G1"/>
  </x:mergeCells>
  <x:conditionalFormatting sqref="G4:G15">
    <x:cfRule type="cellIs" dxfId="8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28e1d7061c04326"/>
</x:worksheet>
</file>